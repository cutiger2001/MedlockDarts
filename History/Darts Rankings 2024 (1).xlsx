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netorg546696-my.sharepoint.com/personal/tk_dickersons_org/Documents/"/>
    </mc:Choice>
  </mc:AlternateContent>
  <xr:revisionPtr revIDLastSave="5138" documentId="8_{5253D9EA-173E-4A48-9130-C719E41CFB55}" xr6:coauthVersionLast="47" xr6:coauthVersionMax="47" xr10:uidLastSave="{E8D6759C-5B25-41A4-B5B6-89681589E3D5}"/>
  <bookViews>
    <workbookView xWindow="-110" yWindow="-110" windowWidth="38620" windowHeight="21100" xr2:uid="{90F6EEC7-22E1-4950-AAF4-DE69284BBE9D}"/>
  </bookViews>
  <sheets>
    <sheet name="Match Data - T" sheetId="5" r:id="rId1"/>
    <sheet name="Match Data - D" sheetId="1" r:id="rId2"/>
    <sheet name="Team Stats" sheetId="2" r:id="rId3"/>
    <sheet name="Individual Stats" sheetId="3" r:id="rId4"/>
    <sheet name="Player Ratings" sheetId="4" r:id="rId5"/>
  </sheets>
  <definedNames>
    <definedName name="_xlnm._FilterDatabase" localSheetId="3" hidden="1">'Individual Stats'!$A$2:$K$18</definedName>
    <definedName name="_xlnm._FilterDatabase" localSheetId="4" hidden="1">'Player Ratings'!$A$1:$X$17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42" i="5" l="1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E297" i="5"/>
  <c r="L297" i="5" s="1"/>
  <c r="E296" i="5"/>
  <c r="L296" i="5" s="1"/>
  <c r="E295" i="5"/>
  <c r="L295" i="5" s="1"/>
  <c r="E294" i="5"/>
  <c r="L294" i="5" s="1"/>
  <c r="E293" i="5"/>
  <c r="L293" i="5" s="1"/>
  <c r="E292" i="5"/>
  <c r="L292" i="5" s="1"/>
  <c r="E291" i="5"/>
  <c r="L291" i="5" s="1"/>
  <c r="E290" i="5"/>
  <c r="L290" i="5" s="1"/>
  <c r="E289" i="5"/>
  <c r="L289" i="5" s="1"/>
  <c r="E288" i="5"/>
  <c r="L288" i="5" s="1"/>
  <c r="E287" i="5"/>
  <c r="L287" i="5" s="1"/>
  <c r="E286" i="5"/>
  <c r="L286" i="5" s="1"/>
  <c r="E285" i="5"/>
  <c r="L285" i="5" s="1"/>
  <c r="E284" i="5"/>
  <c r="L284" i="5" s="1"/>
  <c r="E283" i="5"/>
  <c r="L283" i="5" s="1"/>
  <c r="E282" i="5"/>
  <c r="L282" i="5" s="1"/>
  <c r="E281" i="5"/>
  <c r="L281" i="5" s="1"/>
  <c r="E280" i="5"/>
  <c r="L280" i="5" s="1"/>
  <c r="E279" i="5"/>
  <c r="L279" i="5" s="1"/>
  <c r="E278" i="5"/>
  <c r="L278" i="5" s="1"/>
  <c r="E277" i="5"/>
  <c r="L277" i="5" s="1"/>
  <c r="E276" i="5"/>
  <c r="L276" i="5" s="1"/>
  <c r="E275" i="5"/>
  <c r="L275" i="5" s="1"/>
  <c r="E274" i="5"/>
  <c r="L274" i="5" s="1"/>
  <c r="E273" i="5"/>
  <c r="L273" i="5" s="1"/>
  <c r="E272" i="5"/>
  <c r="L272" i="5" s="1"/>
  <c r="E271" i="5"/>
  <c r="L271" i="5" s="1"/>
  <c r="E270" i="5"/>
  <c r="L270" i="5" s="1"/>
  <c r="E269" i="5"/>
  <c r="L269" i="5" s="1"/>
  <c r="E268" i="5"/>
  <c r="L268" i="5" s="1"/>
  <c r="E267" i="5"/>
  <c r="L267" i="5" s="1"/>
  <c r="E266" i="5"/>
  <c r="L266" i="5" s="1"/>
  <c r="E265" i="5"/>
  <c r="L265" i="5" s="1"/>
  <c r="E264" i="5"/>
  <c r="L264" i="5" s="1"/>
  <c r="E263" i="5"/>
  <c r="L263" i="5" s="1"/>
  <c r="E262" i="5"/>
  <c r="L262" i="5" s="1"/>
  <c r="E261" i="5"/>
  <c r="L261" i="5" s="1"/>
  <c r="E260" i="5"/>
  <c r="L260" i="5" s="1"/>
  <c r="E259" i="5"/>
  <c r="L259" i="5" s="1"/>
  <c r="E258" i="5"/>
  <c r="L258" i="5" s="1"/>
  <c r="E257" i="5"/>
  <c r="L257" i="5" s="1"/>
  <c r="E256" i="5"/>
  <c r="L256" i="5" s="1"/>
  <c r="E255" i="5"/>
  <c r="L255" i="5" s="1"/>
  <c r="E254" i="5"/>
  <c r="L254" i="5" s="1"/>
  <c r="E253" i="5"/>
  <c r="L253" i="5" s="1"/>
  <c r="E252" i="5"/>
  <c r="L252" i="5" s="1"/>
  <c r="E251" i="5"/>
  <c r="L251" i="5" s="1"/>
  <c r="E250" i="5"/>
  <c r="L250" i="5" s="1"/>
  <c r="E249" i="5"/>
  <c r="L249" i="5" s="1"/>
  <c r="E248" i="5"/>
  <c r="L248" i="5" s="1"/>
  <c r="E247" i="5"/>
  <c r="L247" i="5" s="1"/>
  <c r="E246" i="5"/>
  <c r="L246" i="5" s="1"/>
  <c r="E245" i="5"/>
  <c r="L245" i="5" s="1"/>
  <c r="E244" i="5"/>
  <c r="L244" i="5" s="1"/>
  <c r="E243" i="5"/>
  <c r="L243" i="5" s="1"/>
  <c r="E242" i="5"/>
  <c r="L242" i="5" s="1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H243" i="5"/>
  <c r="AH244" i="5"/>
  <c r="AH245" i="5"/>
  <c r="AH246" i="5"/>
  <c r="AH247" i="5"/>
  <c r="AH248" i="5"/>
  <c r="AH249" i="5"/>
  <c r="AH250" i="5"/>
  <c r="AH251" i="5"/>
  <c r="AH252" i="5"/>
  <c r="AH253" i="5"/>
  <c r="AH254" i="5"/>
  <c r="AH255" i="5"/>
  <c r="AH256" i="5"/>
  <c r="AH257" i="5"/>
  <c r="AH258" i="5"/>
  <c r="AH259" i="5"/>
  <c r="AH260" i="5"/>
  <c r="AH261" i="5"/>
  <c r="AH262" i="5"/>
  <c r="AH263" i="5"/>
  <c r="AH264" i="5"/>
  <c r="AH265" i="5"/>
  <c r="AH266" i="5"/>
  <c r="AH267" i="5"/>
  <c r="AH268" i="5"/>
  <c r="AH269" i="5"/>
  <c r="AH270" i="5"/>
  <c r="AH271" i="5"/>
  <c r="AH272" i="5"/>
  <c r="AH273" i="5"/>
  <c r="AH274" i="5"/>
  <c r="AH275" i="5"/>
  <c r="AH276" i="5"/>
  <c r="AH277" i="5"/>
  <c r="AH278" i="5"/>
  <c r="AH279" i="5"/>
  <c r="AH280" i="5"/>
  <c r="AH281" i="5"/>
  <c r="AH282" i="5"/>
  <c r="AH283" i="5"/>
  <c r="AH284" i="5"/>
  <c r="AH285" i="5"/>
  <c r="AH286" i="5"/>
  <c r="AH287" i="5"/>
  <c r="AH288" i="5"/>
  <c r="AH289" i="5"/>
  <c r="AH290" i="5"/>
  <c r="AH291" i="5"/>
  <c r="AH292" i="5"/>
  <c r="AH293" i="5"/>
  <c r="AH294" i="5"/>
  <c r="AH295" i="5"/>
  <c r="AH296" i="5"/>
  <c r="AH297" i="5"/>
  <c r="AO243" i="5"/>
  <c r="AO244" i="5"/>
  <c r="AO245" i="5"/>
  <c r="AO246" i="5"/>
  <c r="AO247" i="5"/>
  <c r="AO248" i="5"/>
  <c r="AO249" i="5"/>
  <c r="AO250" i="5"/>
  <c r="AO251" i="5"/>
  <c r="AO252" i="5"/>
  <c r="AO253" i="5"/>
  <c r="AO254" i="5"/>
  <c r="AO255" i="5"/>
  <c r="AO256" i="5"/>
  <c r="AO257" i="5"/>
  <c r="AO258" i="5"/>
  <c r="AO259" i="5"/>
  <c r="AO260" i="5"/>
  <c r="AO261" i="5"/>
  <c r="AO262" i="5"/>
  <c r="AO263" i="5"/>
  <c r="AO264" i="5"/>
  <c r="AO265" i="5"/>
  <c r="AO266" i="5"/>
  <c r="AO267" i="5"/>
  <c r="AO268" i="5"/>
  <c r="AO269" i="5"/>
  <c r="AO270" i="5"/>
  <c r="AO271" i="5"/>
  <c r="AO272" i="5"/>
  <c r="AO273" i="5"/>
  <c r="AO274" i="5"/>
  <c r="AO275" i="5"/>
  <c r="AO276" i="5"/>
  <c r="AO277" i="5"/>
  <c r="AO278" i="5"/>
  <c r="AO279" i="5"/>
  <c r="AO280" i="5"/>
  <c r="AO281" i="5"/>
  <c r="AO282" i="5"/>
  <c r="AO283" i="5"/>
  <c r="AO284" i="5"/>
  <c r="AO285" i="5"/>
  <c r="AO286" i="5"/>
  <c r="AO287" i="5"/>
  <c r="AO288" i="5"/>
  <c r="AO289" i="5"/>
  <c r="AO290" i="5"/>
  <c r="AO291" i="5"/>
  <c r="AO292" i="5"/>
  <c r="AO293" i="5"/>
  <c r="AO294" i="5"/>
  <c r="AO295" i="5"/>
  <c r="AO296" i="5"/>
  <c r="AO297" i="5"/>
  <c r="AA242" i="5"/>
  <c r="AH242" i="5"/>
  <c r="AO242" i="5"/>
  <c r="AN178" i="5"/>
  <c r="AN179" i="5"/>
  <c r="AN180" i="5"/>
  <c r="AN181" i="5"/>
  <c r="AN182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E170" i="5"/>
  <c r="L170" i="5" s="1"/>
  <c r="E171" i="5"/>
  <c r="L171" i="5" s="1"/>
  <c r="E172" i="5"/>
  <c r="L172" i="5" s="1"/>
  <c r="E173" i="5"/>
  <c r="E174" i="5"/>
  <c r="L174" i="5" s="1"/>
  <c r="E175" i="5"/>
  <c r="L175" i="5" s="1"/>
  <c r="E176" i="5"/>
  <c r="L176" i="5" s="1"/>
  <c r="E177" i="5"/>
  <c r="L177" i="5" s="1"/>
  <c r="E178" i="5"/>
  <c r="L178" i="5" s="1"/>
  <c r="E179" i="5"/>
  <c r="L179" i="5" s="1"/>
  <c r="E180" i="5"/>
  <c r="L180" i="5" s="1"/>
  <c r="E181" i="5"/>
  <c r="L181" i="5" s="1"/>
  <c r="E182" i="5"/>
  <c r="L182" i="5" s="1"/>
  <c r="E183" i="5"/>
  <c r="L183" i="5" s="1"/>
  <c r="E184" i="5"/>
  <c r="L184" i="5" s="1"/>
  <c r="E185" i="5"/>
  <c r="L185" i="5" s="1"/>
  <c r="E186" i="5"/>
  <c r="E187" i="5"/>
  <c r="L187" i="5" s="1"/>
  <c r="E188" i="5"/>
  <c r="L188" i="5" s="1"/>
  <c r="E189" i="5"/>
  <c r="L189" i="5" s="1"/>
  <c r="E190" i="5"/>
  <c r="L190" i="5" s="1"/>
  <c r="E191" i="5"/>
  <c r="L191" i="5" s="1"/>
  <c r="E192" i="5"/>
  <c r="L192" i="5" s="1"/>
  <c r="E193" i="5"/>
  <c r="L193" i="5" s="1"/>
  <c r="E194" i="5"/>
  <c r="L194" i="5" s="1"/>
  <c r="E195" i="5"/>
  <c r="L195" i="5" s="1"/>
  <c r="E196" i="5"/>
  <c r="L196" i="5" s="1"/>
  <c r="E197" i="5"/>
  <c r="L197" i="5" s="1"/>
  <c r="E198" i="5"/>
  <c r="L198" i="5" s="1"/>
  <c r="E199" i="5"/>
  <c r="E200" i="5"/>
  <c r="L200" i="5" s="1"/>
  <c r="E201" i="5"/>
  <c r="L201" i="5" s="1"/>
  <c r="E202" i="5"/>
  <c r="E203" i="5"/>
  <c r="L203" i="5" s="1"/>
  <c r="E204" i="5"/>
  <c r="L204" i="5" s="1"/>
  <c r="E205" i="5"/>
  <c r="L205" i="5" s="1"/>
  <c r="E206" i="5"/>
  <c r="L206" i="5" s="1"/>
  <c r="E207" i="5"/>
  <c r="L207" i="5" s="1"/>
  <c r="E208" i="5"/>
  <c r="L208" i="5" s="1"/>
  <c r="E209" i="5"/>
  <c r="L209" i="5" s="1"/>
  <c r="E210" i="5"/>
  <c r="L210" i="5" s="1"/>
  <c r="E211" i="5"/>
  <c r="L211" i="5" s="1"/>
  <c r="E212" i="5"/>
  <c r="L212" i="5" s="1"/>
  <c r="E213" i="5"/>
  <c r="L213" i="5" s="1"/>
  <c r="E214" i="5"/>
  <c r="L214" i="5" s="1"/>
  <c r="E215" i="5"/>
  <c r="L215" i="5" s="1"/>
  <c r="E216" i="5"/>
  <c r="L216" i="5" s="1"/>
  <c r="E217" i="5"/>
  <c r="E218" i="5"/>
  <c r="E219" i="5"/>
  <c r="L219" i="5" s="1"/>
  <c r="E220" i="5"/>
  <c r="L220" i="5" s="1"/>
  <c r="E221" i="5"/>
  <c r="L221" i="5" s="1"/>
  <c r="E222" i="5"/>
  <c r="L222" i="5" s="1"/>
  <c r="E223" i="5"/>
  <c r="L223" i="5" s="1"/>
  <c r="E224" i="5"/>
  <c r="L224" i="5" s="1"/>
  <c r="E225" i="5"/>
  <c r="L225" i="5" s="1"/>
  <c r="E226" i="5"/>
  <c r="L226" i="5" s="1"/>
  <c r="E227" i="5"/>
  <c r="L227" i="5" s="1"/>
  <c r="E228" i="5"/>
  <c r="L228" i="5" s="1"/>
  <c r="E229" i="5"/>
  <c r="L229" i="5" s="1"/>
  <c r="E230" i="5"/>
  <c r="E231" i="5"/>
  <c r="L231" i="5" s="1"/>
  <c r="E232" i="5"/>
  <c r="L232" i="5" s="1"/>
  <c r="E233" i="5"/>
  <c r="L233" i="5" s="1"/>
  <c r="E234" i="5"/>
  <c r="L234" i="5" s="1"/>
  <c r="E235" i="5"/>
  <c r="L235" i="5" s="1"/>
  <c r="E236" i="5"/>
  <c r="L236" i="5" s="1"/>
  <c r="E237" i="5"/>
  <c r="E238" i="5"/>
  <c r="L238" i="5" s="1"/>
  <c r="E239" i="5"/>
  <c r="L239" i="5" s="1"/>
  <c r="E240" i="5"/>
  <c r="L240" i="5" s="1"/>
  <c r="E241" i="5"/>
  <c r="L241" i="5" s="1"/>
  <c r="AO241" i="5"/>
  <c r="AH241" i="5"/>
  <c r="AA241" i="5"/>
  <c r="AO240" i="5"/>
  <c r="AH240" i="5"/>
  <c r="AA240" i="5"/>
  <c r="AO239" i="5"/>
  <c r="AH239" i="5"/>
  <c r="AA239" i="5"/>
  <c r="AO238" i="5"/>
  <c r="AH238" i="5"/>
  <c r="AA238" i="5"/>
  <c r="AO237" i="5"/>
  <c r="AH237" i="5"/>
  <c r="AA237" i="5"/>
  <c r="AO236" i="5"/>
  <c r="AH236" i="5"/>
  <c r="AA236" i="5"/>
  <c r="AO235" i="5"/>
  <c r="AH235" i="5"/>
  <c r="AA235" i="5"/>
  <c r="AO234" i="5"/>
  <c r="AH234" i="5"/>
  <c r="AA234" i="5"/>
  <c r="AO233" i="5"/>
  <c r="AH233" i="5"/>
  <c r="AA233" i="5"/>
  <c r="AO232" i="5"/>
  <c r="AH232" i="5"/>
  <c r="AA232" i="5"/>
  <c r="AO231" i="5"/>
  <c r="AH231" i="5"/>
  <c r="AA231" i="5"/>
  <c r="AO230" i="5"/>
  <c r="AH230" i="5"/>
  <c r="AA230" i="5"/>
  <c r="AO229" i="5"/>
  <c r="AH229" i="5"/>
  <c r="AA229" i="5"/>
  <c r="AO228" i="5"/>
  <c r="AH228" i="5"/>
  <c r="AA228" i="5"/>
  <c r="AO227" i="5"/>
  <c r="AH227" i="5"/>
  <c r="AA227" i="5"/>
  <c r="AO226" i="5"/>
  <c r="AH226" i="5"/>
  <c r="AA226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H170" i="5"/>
  <c r="AH171" i="5"/>
  <c r="AH172" i="5"/>
  <c r="AH173" i="5"/>
  <c r="AH174" i="5"/>
  <c r="AH175" i="5"/>
  <c r="AH176" i="5"/>
  <c r="AH177" i="5"/>
  <c r="AH178" i="5"/>
  <c r="AH179" i="5"/>
  <c r="AH180" i="5"/>
  <c r="AH181" i="5"/>
  <c r="AH182" i="5"/>
  <c r="AH183" i="5"/>
  <c r="AH184" i="5"/>
  <c r="AH185" i="5"/>
  <c r="AH186" i="5"/>
  <c r="AH187" i="5"/>
  <c r="AH188" i="5"/>
  <c r="AH189" i="5"/>
  <c r="AH190" i="5"/>
  <c r="AH191" i="5"/>
  <c r="AH192" i="5"/>
  <c r="AH193" i="5"/>
  <c r="AH194" i="5"/>
  <c r="AH195" i="5"/>
  <c r="AH196" i="5"/>
  <c r="AH197" i="5"/>
  <c r="AH198" i="5"/>
  <c r="AH199" i="5"/>
  <c r="AH200" i="5"/>
  <c r="AH201" i="5"/>
  <c r="AH202" i="5"/>
  <c r="AH203" i="5"/>
  <c r="AH204" i="5"/>
  <c r="AH205" i="5"/>
  <c r="AH206" i="5"/>
  <c r="AH207" i="5"/>
  <c r="AH208" i="5"/>
  <c r="AH209" i="5"/>
  <c r="AH210" i="5"/>
  <c r="AH211" i="5"/>
  <c r="AH212" i="5"/>
  <c r="AH213" i="5"/>
  <c r="AH214" i="5"/>
  <c r="AH215" i="5"/>
  <c r="AH216" i="5"/>
  <c r="AH217" i="5"/>
  <c r="AH218" i="5"/>
  <c r="AH219" i="5"/>
  <c r="AH220" i="5"/>
  <c r="AH221" i="5"/>
  <c r="AH222" i="5"/>
  <c r="AH223" i="5"/>
  <c r="AH224" i="5"/>
  <c r="AH225" i="5"/>
  <c r="AO170" i="5"/>
  <c r="AO171" i="5"/>
  <c r="AO172" i="5"/>
  <c r="AO173" i="5"/>
  <c r="AO174" i="5"/>
  <c r="AO175" i="5"/>
  <c r="AO176" i="5"/>
  <c r="AO177" i="5"/>
  <c r="AO178" i="5"/>
  <c r="AO179" i="5"/>
  <c r="AO180" i="5"/>
  <c r="AO181" i="5"/>
  <c r="AO182" i="5"/>
  <c r="AO183" i="5"/>
  <c r="AO184" i="5"/>
  <c r="AO185" i="5"/>
  <c r="AO186" i="5"/>
  <c r="AO187" i="5"/>
  <c r="AO188" i="5"/>
  <c r="AO189" i="5"/>
  <c r="AO190" i="5"/>
  <c r="AO191" i="5"/>
  <c r="AO192" i="5"/>
  <c r="AO193" i="5"/>
  <c r="AO194" i="5"/>
  <c r="AO195" i="5"/>
  <c r="AO196" i="5"/>
  <c r="AO197" i="5"/>
  <c r="AO198" i="5"/>
  <c r="AO199" i="5"/>
  <c r="AO200" i="5"/>
  <c r="AO201" i="5"/>
  <c r="AO202" i="5"/>
  <c r="AO203" i="5"/>
  <c r="AO204" i="5"/>
  <c r="AO205" i="5"/>
  <c r="AO206" i="5"/>
  <c r="AO207" i="5"/>
  <c r="AO208" i="5"/>
  <c r="AO209" i="5"/>
  <c r="AO210" i="5"/>
  <c r="AO211" i="5"/>
  <c r="AO212" i="5"/>
  <c r="AO213" i="5"/>
  <c r="AO214" i="5"/>
  <c r="AO215" i="5"/>
  <c r="AO216" i="5"/>
  <c r="AO217" i="5"/>
  <c r="AO218" i="5"/>
  <c r="AO219" i="5"/>
  <c r="AO220" i="5"/>
  <c r="AO221" i="5"/>
  <c r="AO222" i="5"/>
  <c r="AO223" i="5"/>
  <c r="AO224" i="5"/>
  <c r="AO225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E114" i="5"/>
  <c r="L114" i="5" s="1"/>
  <c r="E115" i="5"/>
  <c r="L115" i="5" s="1"/>
  <c r="E116" i="5"/>
  <c r="L116" i="5" s="1"/>
  <c r="E117" i="5"/>
  <c r="L117" i="5" s="1"/>
  <c r="E118" i="5"/>
  <c r="L118" i="5" s="1"/>
  <c r="E119" i="5"/>
  <c r="L119" i="5" s="1"/>
  <c r="E120" i="5"/>
  <c r="L120" i="5" s="1"/>
  <c r="E121" i="5"/>
  <c r="L121" i="5" s="1"/>
  <c r="E122" i="5"/>
  <c r="L122" i="5" s="1"/>
  <c r="E123" i="5"/>
  <c r="L123" i="5" s="1"/>
  <c r="E124" i="5"/>
  <c r="L124" i="5" s="1"/>
  <c r="E125" i="5"/>
  <c r="L125" i="5" s="1"/>
  <c r="E126" i="5"/>
  <c r="L126" i="5" s="1"/>
  <c r="E127" i="5"/>
  <c r="L127" i="5" s="1"/>
  <c r="E128" i="5"/>
  <c r="L128" i="5" s="1"/>
  <c r="E129" i="5"/>
  <c r="L129" i="5" s="1"/>
  <c r="E130" i="5"/>
  <c r="L130" i="5" s="1"/>
  <c r="E131" i="5"/>
  <c r="L131" i="5" s="1"/>
  <c r="E132" i="5"/>
  <c r="L132" i="5" s="1"/>
  <c r="E133" i="5"/>
  <c r="L133" i="5" s="1"/>
  <c r="E134" i="5"/>
  <c r="L134" i="5" s="1"/>
  <c r="E135" i="5"/>
  <c r="L135" i="5" s="1"/>
  <c r="E136" i="5"/>
  <c r="L136" i="5" s="1"/>
  <c r="E137" i="5"/>
  <c r="L137" i="5" s="1"/>
  <c r="E138" i="5"/>
  <c r="L138" i="5" s="1"/>
  <c r="E139" i="5"/>
  <c r="L139" i="5" s="1"/>
  <c r="E140" i="5"/>
  <c r="L140" i="5" s="1"/>
  <c r="E141" i="5"/>
  <c r="L141" i="5" s="1"/>
  <c r="E142" i="5"/>
  <c r="L142" i="5" s="1"/>
  <c r="E143" i="5"/>
  <c r="L143" i="5" s="1"/>
  <c r="E144" i="5"/>
  <c r="L144" i="5" s="1"/>
  <c r="E145" i="5"/>
  <c r="L145" i="5" s="1"/>
  <c r="E146" i="5"/>
  <c r="L146" i="5" s="1"/>
  <c r="E147" i="5"/>
  <c r="L147" i="5" s="1"/>
  <c r="E148" i="5"/>
  <c r="L148" i="5" s="1"/>
  <c r="E149" i="5"/>
  <c r="L149" i="5" s="1"/>
  <c r="E150" i="5"/>
  <c r="L150" i="5" s="1"/>
  <c r="E151" i="5"/>
  <c r="L151" i="5" s="1"/>
  <c r="E152" i="5"/>
  <c r="L152" i="5" s="1"/>
  <c r="E153" i="5"/>
  <c r="L153" i="5" s="1"/>
  <c r="E154" i="5"/>
  <c r="L154" i="5" s="1"/>
  <c r="E155" i="5"/>
  <c r="L155" i="5" s="1"/>
  <c r="E156" i="5"/>
  <c r="L156" i="5" s="1"/>
  <c r="E157" i="5"/>
  <c r="L157" i="5" s="1"/>
  <c r="E158" i="5"/>
  <c r="L158" i="5" s="1"/>
  <c r="E159" i="5"/>
  <c r="L159" i="5" s="1"/>
  <c r="E160" i="5"/>
  <c r="L160" i="5" s="1"/>
  <c r="E161" i="5"/>
  <c r="L161" i="5" s="1"/>
  <c r="E162" i="5"/>
  <c r="L162" i="5" s="1"/>
  <c r="E163" i="5"/>
  <c r="L163" i="5" s="1"/>
  <c r="E164" i="5"/>
  <c r="L164" i="5" s="1"/>
  <c r="E165" i="5"/>
  <c r="L165" i="5" s="1"/>
  <c r="E166" i="5"/>
  <c r="L166" i="5" s="1"/>
  <c r="E167" i="5"/>
  <c r="L167" i="5" s="1"/>
  <c r="E168" i="5"/>
  <c r="L168" i="5" s="1"/>
  <c r="E169" i="5"/>
  <c r="L169" i="5" s="1"/>
  <c r="AH114" i="5"/>
  <c r="AH115" i="5"/>
  <c r="AH116" i="5"/>
  <c r="AH117" i="5"/>
  <c r="AH118" i="5"/>
  <c r="AH119" i="5"/>
  <c r="AH120" i="5"/>
  <c r="AH121" i="5"/>
  <c r="AH122" i="5"/>
  <c r="AH123" i="5"/>
  <c r="AH124" i="5"/>
  <c r="AH125" i="5"/>
  <c r="AH126" i="5"/>
  <c r="AH127" i="5"/>
  <c r="AH128" i="5"/>
  <c r="AH129" i="5"/>
  <c r="AH130" i="5"/>
  <c r="AH131" i="5"/>
  <c r="AH132" i="5"/>
  <c r="AH133" i="5"/>
  <c r="AH134" i="5"/>
  <c r="AH135" i="5"/>
  <c r="AH136" i="5"/>
  <c r="AH137" i="5"/>
  <c r="AH138" i="5"/>
  <c r="AH139" i="5"/>
  <c r="AH140" i="5"/>
  <c r="AH141" i="5"/>
  <c r="AH142" i="5"/>
  <c r="AH143" i="5"/>
  <c r="AH144" i="5"/>
  <c r="AH145" i="5"/>
  <c r="AH146" i="5"/>
  <c r="AH147" i="5"/>
  <c r="AH148" i="5"/>
  <c r="AH149" i="5"/>
  <c r="AH150" i="5"/>
  <c r="AH151" i="5"/>
  <c r="AH152" i="5"/>
  <c r="AH153" i="5"/>
  <c r="AH154" i="5"/>
  <c r="AH155" i="5"/>
  <c r="AH156" i="5"/>
  <c r="AH157" i="5"/>
  <c r="AH158" i="5"/>
  <c r="AH159" i="5"/>
  <c r="AH160" i="5"/>
  <c r="AH161" i="5"/>
  <c r="AH162" i="5"/>
  <c r="AH163" i="5"/>
  <c r="AH164" i="5"/>
  <c r="AH165" i="5"/>
  <c r="AH166" i="5"/>
  <c r="AH167" i="5"/>
  <c r="AH168" i="5"/>
  <c r="AH169" i="5"/>
  <c r="AO114" i="5"/>
  <c r="AO115" i="5"/>
  <c r="AO116" i="5"/>
  <c r="AO117" i="5"/>
  <c r="AO118" i="5"/>
  <c r="AO119" i="5"/>
  <c r="AO120" i="5"/>
  <c r="AO121" i="5"/>
  <c r="AO122" i="5"/>
  <c r="AO123" i="5"/>
  <c r="AO124" i="5"/>
  <c r="AO125" i="5"/>
  <c r="AO126" i="5"/>
  <c r="AO127" i="5"/>
  <c r="AO128" i="5"/>
  <c r="AO129" i="5"/>
  <c r="AO130" i="5"/>
  <c r="AO131" i="5"/>
  <c r="AO132" i="5"/>
  <c r="AO133" i="5"/>
  <c r="AO134" i="5"/>
  <c r="AO135" i="5"/>
  <c r="AO136" i="5"/>
  <c r="AO137" i="5"/>
  <c r="AO138" i="5"/>
  <c r="AO139" i="5"/>
  <c r="AO140" i="5"/>
  <c r="AO141" i="5"/>
  <c r="AO142" i="5"/>
  <c r="AO143" i="5"/>
  <c r="AO144" i="5"/>
  <c r="AO145" i="5"/>
  <c r="AO146" i="5"/>
  <c r="AO147" i="5"/>
  <c r="AO148" i="5"/>
  <c r="AO149" i="5"/>
  <c r="AO150" i="5"/>
  <c r="AO151" i="5"/>
  <c r="AO152" i="5"/>
  <c r="AO153" i="5"/>
  <c r="AO154" i="5"/>
  <c r="AO155" i="5"/>
  <c r="AO156" i="5"/>
  <c r="AO157" i="5"/>
  <c r="AO158" i="5"/>
  <c r="AO159" i="5"/>
  <c r="AO160" i="5"/>
  <c r="AO161" i="5"/>
  <c r="AO162" i="5"/>
  <c r="AO163" i="5"/>
  <c r="AO164" i="5"/>
  <c r="AO165" i="5"/>
  <c r="AO166" i="5"/>
  <c r="AO167" i="5"/>
  <c r="AO168" i="5"/>
  <c r="AO169" i="5"/>
  <c r="R67" i="5"/>
  <c r="R81" i="5"/>
  <c r="R89" i="5"/>
  <c r="R92" i="5"/>
  <c r="R98" i="5"/>
  <c r="R110" i="5"/>
  <c r="R60" i="5"/>
  <c r="R68" i="5"/>
  <c r="R80" i="5"/>
  <c r="R83" i="5"/>
  <c r="R96" i="5"/>
  <c r="R103" i="5"/>
  <c r="R113" i="5"/>
  <c r="R64" i="5"/>
  <c r="R72" i="5"/>
  <c r="R76" i="5"/>
  <c r="R82" i="5"/>
  <c r="R95" i="5"/>
  <c r="R99" i="5"/>
  <c r="R109" i="5"/>
  <c r="R65" i="5"/>
  <c r="R66" i="5"/>
  <c r="R78" i="5"/>
  <c r="R85" i="5"/>
  <c r="R97" i="5"/>
  <c r="R104" i="5"/>
  <c r="R107" i="5"/>
  <c r="R58" i="5"/>
  <c r="R69" i="5"/>
  <c r="R74" i="5"/>
  <c r="R84" i="5"/>
  <c r="R94" i="5"/>
  <c r="R101" i="5"/>
  <c r="R111" i="5"/>
  <c r="R62" i="5"/>
  <c r="R73" i="5"/>
  <c r="R75" i="5"/>
  <c r="R86" i="5"/>
  <c r="R90" i="5"/>
  <c r="R105" i="5"/>
  <c r="R112" i="5"/>
  <c r="R59" i="5"/>
  <c r="R71" i="5"/>
  <c r="R77" i="5"/>
  <c r="R88" i="5"/>
  <c r="R91" i="5"/>
  <c r="R102" i="5"/>
  <c r="R106" i="5"/>
  <c r="R61" i="5"/>
  <c r="R70" i="5"/>
  <c r="R79" i="5"/>
  <c r="R87" i="5"/>
  <c r="R93" i="5"/>
  <c r="R100" i="5"/>
  <c r="R108" i="5"/>
  <c r="R63" i="5"/>
  <c r="F67" i="5"/>
  <c r="F81" i="5"/>
  <c r="F89" i="5"/>
  <c r="F92" i="5"/>
  <c r="F98" i="5"/>
  <c r="F110" i="5"/>
  <c r="F60" i="5"/>
  <c r="F68" i="5"/>
  <c r="F80" i="5"/>
  <c r="F83" i="5"/>
  <c r="F96" i="5"/>
  <c r="F103" i="5"/>
  <c r="F113" i="5"/>
  <c r="F64" i="5"/>
  <c r="F72" i="5"/>
  <c r="F76" i="5"/>
  <c r="F82" i="5"/>
  <c r="F95" i="5"/>
  <c r="F99" i="5"/>
  <c r="F109" i="5"/>
  <c r="F65" i="5"/>
  <c r="F66" i="5"/>
  <c r="F78" i="5"/>
  <c r="F85" i="5"/>
  <c r="F97" i="5"/>
  <c r="F104" i="5"/>
  <c r="F107" i="5"/>
  <c r="F58" i="5"/>
  <c r="F69" i="5"/>
  <c r="F74" i="5"/>
  <c r="F84" i="5"/>
  <c r="F94" i="5"/>
  <c r="F101" i="5"/>
  <c r="F111" i="5"/>
  <c r="F62" i="5"/>
  <c r="F73" i="5"/>
  <c r="F75" i="5"/>
  <c r="F86" i="5"/>
  <c r="F90" i="5"/>
  <c r="F105" i="5"/>
  <c r="F112" i="5"/>
  <c r="F59" i="5"/>
  <c r="F71" i="5"/>
  <c r="F77" i="5"/>
  <c r="F88" i="5"/>
  <c r="F91" i="5"/>
  <c r="F102" i="5"/>
  <c r="F106" i="5"/>
  <c r="F61" i="5"/>
  <c r="F70" i="5"/>
  <c r="F79" i="5"/>
  <c r="F87" i="5"/>
  <c r="F93" i="5"/>
  <c r="F100" i="5"/>
  <c r="F108" i="5"/>
  <c r="F63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75" i="5"/>
  <c r="AH76" i="5"/>
  <c r="AH77" i="5"/>
  <c r="AH78" i="5"/>
  <c r="AH79" i="5"/>
  <c r="AH80" i="5"/>
  <c r="AH81" i="5"/>
  <c r="AH82" i="5"/>
  <c r="AH83" i="5"/>
  <c r="AH84" i="5"/>
  <c r="AH85" i="5"/>
  <c r="AH86" i="5"/>
  <c r="AH87" i="5"/>
  <c r="AH88" i="5"/>
  <c r="AH89" i="5"/>
  <c r="AH90" i="5"/>
  <c r="AH91" i="5"/>
  <c r="AH92" i="5"/>
  <c r="AH93" i="5"/>
  <c r="AH94" i="5"/>
  <c r="AH95" i="5"/>
  <c r="AH96" i="5"/>
  <c r="AH97" i="5"/>
  <c r="AH98" i="5"/>
  <c r="AH99" i="5"/>
  <c r="AH100" i="5"/>
  <c r="AH101" i="5"/>
  <c r="AH102" i="5"/>
  <c r="AH103" i="5"/>
  <c r="AH104" i="5"/>
  <c r="AH105" i="5"/>
  <c r="AH106" i="5"/>
  <c r="AH107" i="5"/>
  <c r="AH108" i="5"/>
  <c r="AH109" i="5"/>
  <c r="AH110" i="5"/>
  <c r="AH111" i="5"/>
  <c r="AH112" i="5"/>
  <c r="AH113" i="5"/>
  <c r="AO58" i="5"/>
  <c r="AO59" i="5"/>
  <c r="AO60" i="5"/>
  <c r="AO61" i="5"/>
  <c r="AO62" i="5"/>
  <c r="AO63" i="5"/>
  <c r="AO64" i="5"/>
  <c r="AO65" i="5"/>
  <c r="AO66" i="5"/>
  <c r="AO67" i="5"/>
  <c r="AO68" i="5"/>
  <c r="AO69" i="5"/>
  <c r="AO70" i="5"/>
  <c r="AO71" i="5"/>
  <c r="AO72" i="5"/>
  <c r="AO73" i="5"/>
  <c r="AO74" i="5"/>
  <c r="AO75" i="5"/>
  <c r="AO76" i="5"/>
  <c r="AO77" i="5"/>
  <c r="AO78" i="5"/>
  <c r="AO79" i="5"/>
  <c r="AO80" i="5"/>
  <c r="AO81" i="5"/>
  <c r="AO82" i="5"/>
  <c r="AO83" i="5"/>
  <c r="AO84" i="5"/>
  <c r="AO85" i="5"/>
  <c r="AO86" i="5"/>
  <c r="AO87" i="5"/>
  <c r="AO88" i="5"/>
  <c r="AO89" i="5"/>
  <c r="AO90" i="5"/>
  <c r="AO91" i="5"/>
  <c r="AO92" i="5"/>
  <c r="AO93" i="5"/>
  <c r="AO94" i="5"/>
  <c r="AO95" i="5"/>
  <c r="AO96" i="5"/>
  <c r="AO97" i="5"/>
  <c r="AO98" i="5"/>
  <c r="AO99" i="5"/>
  <c r="AO100" i="5"/>
  <c r="AO101" i="5"/>
  <c r="AO102" i="5"/>
  <c r="AO103" i="5"/>
  <c r="AO104" i="5"/>
  <c r="AO105" i="5"/>
  <c r="AO106" i="5"/>
  <c r="AO107" i="5"/>
  <c r="AO108" i="5"/>
  <c r="AO109" i="5"/>
  <c r="AO110" i="5"/>
  <c r="AO111" i="5"/>
  <c r="AO112" i="5"/>
  <c r="AO113" i="5"/>
  <c r="E113" i="5"/>
  <c r="L113" i="5" s="1"/>
  <c r="E112" i="5"/>
  <c r="L112" i="5" s="1"/>
  <c r="E111" i="5"/>
  <c r="L111" i="5" s="1"/>
  <c r="E110" i="5"/>
  <c r="L110" i="5" s="1"/>
  <c r="E109" i="5"/>
  <c r="L109" i="5" s="1"/>
  <c r="E108" i="5"/>
  <c r="L108" i="5" s="1"/>
  <c r="E107" i="5"/>
  <c r="L107" i="5" s="1"/>
  <c r="E106" i="5"/>
  <c r="L106" i="5" s="1"/>
  <c r="E105" i="5"/>
  <c r="L105" i="5" s="1"/>
  <c r="E104" i="5"/>
  <c r="L104" i="5" s="1"/>
  <c r="E103" i="5"/>
  <c r="L103" i="5" s="1"/>
  <c r="E102" i="5"/>
  <c r="L102" i="5" s="1"/>
  <c r="E101" i="5"/>
  <c r="L101" i="5" s="1"/>
  <c r="E100" i="5"/>
  <c r="L100" i="5" s="1"/>
  <c r="E99" i="5"/>
  <c r="L99" i="5" s="1"/>
  <c r="E98" i="5"/>
  <c r="L98" i="5" s="1"/>
  <c r="E97" i="5"/>
  <c r="L97" i="5" s="1"/>
  <c r="E96" i="5"/>
  <c r="L96" i="5" s="1"/>
  <c r="E95" i="5"/>
  <c r="L95" i="5" s="1"/>
  <c r="E94" i="5"/>
  <c r="L94" i="5" s="1"/>
  <c r="E93" i="5"/>
  <c r="L93" i="5" s="1"/>
  <c r="E92" i="5"/>
  <c r="L92" i="5" s="1"/>
  <c r="E91" i="5"/>
  <c r="L91" i="5" s="1"/>
  <c r="E90" i="5"/>
  <c r="L90" i="5" s="1"/>
  <c r="E89" i="5"/>
  <c r="L89" i="5" s="1"/>
  <c r="E88" i="5"/>
  <c r="L88" i="5" s="1"/>
  <c r="E87" i="5"/>
  <c r="L87" i="5" s="1"/>
  <c r="E86" i="5"/>
  <c r="L86" i="5" s="1"/>
  <c r="E85" i="5"/>
  <c r="L85" i="5" s="1"/>
  <c r="E84" i="5"/>
  <c r="L84" i="5" s="1"/>
  <c r="E83" i="5"/>
  <c r="L83" i="5" s="1"/>
  <c r="E82" i="5"/>
  <c r="L82" i="5" s="1"/>
  <c r="E81" i="5"/>
  <c r="L81" i="5" s="1"/>
  <c r="E80" i="5"/>
  <c r="L80" i="5" s="1"/>
  <c r="E79" i="5"/>
  <c r="L79" i="5" s="1"/>
  <c r="E78" i="5"/>
  <c r="L78" i="5" s="1"/>
  <c r="E77" i="5"/>
  <c r="L77" i="5" s="1"/>
  <c r="E76" i="5"/>
  <c r="L76" i="5" s="1"/>
  <c r="E75" i="5"/>
  <c r="L75" i="5" s="1"/>
  <c r="E74" i="5"/>
  <c r="L74" i="5" s="1"/>
  <c r="E73" i="5"/>
  <c r="L73" i="5" s="1"/>
  <c r="E72" i="5"/>
  <c r="L72" i="5" s="1"/>
  <c r="E71" i="5"/>
  <c r="L71" i="5" s="1"/>
  <c r="E70" i="5"/>
  <c r="L70" i="5" s="1"/>
  <c r="E69" i="5"/>
  <c r="L69" i="5" s="1"/>
  <c r="E68" i="5"/>
  <c r="L68" i="5" s="1"/>
  <c r="E67" i="5"/>
  <c r="L67" i="5" s="1"/>
  <c r="E66" i="5"/>
  <c r="L66" i="5" s="1"/>
  <c r="E65" i="5"/>
  <c r="L65" i="5" s="1"/>
  <c r="E64" i="5"/>
  <c r="L64" i="5" s="1"/>
  <c r="E63" i="5"/>
  <c r="L63" i="5" s="1"/>
  <c r="E62" i="5"/>
  <c r="L62" i="5" s="1"/>
  <c r="E61" i="5"/>
  <c r="L61" i="5" s="1"/>
  <c r="E60" i="5"/>
  <c r="L60" i="5" s="1"/>
  <c r="E59" i="5"/>
  <c r="L59" i="5" s="1"/>
  <c r="E58" i="5"/>
  <c r="L58" i="5" s="1"/>
  <c r="J20" i="3"/>
  <c r="K20" i="3"/>
  <c r="E2" i="5" l="1"/>
  <c r="L2" i="5" s="1"/>
  <c r="E3" i="5"/>
  <c r="L3" i="5" s="1"/>
  <c r="E4" i="5"/>
  <c r="L4" i="5" s="1"/>
  <c r="E5" i="5"/>
  <c r="L5" i="5" s="1"/>
  <c r="E6" i="5"/>
  <c r="L6" i="5" s="1"/>
  <c r="E7" i="5"/>
  <c r="L7" i="5" s="1"/>
  <c r="E9" i="5"/>
  <c r="L9" i="5" s="1"/>
  <c r="E10" i="5"/>
  <c r="L10" i="5" s="1"/>
  <c r="E11" i="5"/>
  <c r="L11" i="5" s="1"/>
  <c r="E12" i="5"/>
  <c r="L12" i="5" s="1"/>
  <c r="E13" i="5"/>
  <c r="L13" i="5" s="1"/>
  <c r="E14" i="5"/>
  <c r="L14" i="5" s="1"/>
  <c r="E15" i="5"/>
  <c r="L15" i="5" s="1"/>
  <c r="E16" i="5"/>
  <c r="L16" i="5" s="1"/>
  <c r="E17" i="5"/>
  <c r="L17" i="5" s="1"/>
  <c r="E18" i="5"/>
  <c r="L18" i="5" s="1"/>
  <c r="E19" i="5"/>
  <c r="L19" i="5" s="1"/>
  <c r="E20" i="5"/>
  <c r="L20" i="5" s="1"/>
  <c r="E21" i="5"/>
  <c r="L21" i="5" s="1"/>
  <c r="E22" i="5"/>
  <c r="L22" i="5" s="1"/>
  <c r="E23" i="5"/>
  <c r="L23" i="5" s="1"/>
  <c r="E24" i="5"/>
  <c r="L24" i="5" s="1"/>
  <c r="E25" i="5"/>
  <c r="L25" i="5" s="1"/>
  <c r="E26" i="5"/>
  <c r="L26" i="5" s="1"/>
  <c r="E27" i="5"/>
  <c r="L27" i="5" s="1"/>
  <c r="E28" i="5"/>
  <c r="L28" i="5" s="1"/>
  <c r="E29" i="5"/>
  <c r="L29" i="5" s="1"/>
  <c r="E30" i="5"/>
  <c r="L30" i="5" s="1"/>
  <c r="E31" i="5"/>
  <c r="L31" i="5" s="1"/>
  <c r="E32" i="5"/>
  <c r="L32" i="5" s="1"/>
  <c r="E33" i="5"/>
  <c r="L33" i="5" s="1"/>
  <c r="E34" i="5"/>
  <c r="L34" i="5" s="1"/>
  <c r="E35" i="5"/>
  <c r="L35" i="5" s="1"/>
  <c r="E36" i="5"/>
  <c r="L36" i="5" s="1"/>
  <c r="E37" i="5"/>
  <c r="L37" i="5" s="1"/>
  <c r="E38" i="5"/>
  <c r="L38" i="5" s="1"/>
  <c r="E39" i="5"/>
  <c r="L39" i="5" s="1"/>
  <c r="E40" i="5"/>
  <c r="L40" i="5" s="1"/>
  <c r="E41" i="5"/>
  <c r="L41" i="5" s="1"/>
  <c r="E42" i="5"/>
  <c r="L42" i="5" s="1"/>
  <c r="E43" i="5"/>
  <c r="L43" i="5" s="1"/>
  <c r="E44" i="5"/>
  <c r="L44" i="5" s="1"/>
  <c r="E45" i="5"/>
  <c r="L45" i="5" s="1"/>
  <c r="E46" i="5"/>
  <c r="L46" i="5" s="1"/>
  <c r="E47" i="5"/>
  <c r="L47" i="5" s="1"/>
  <c r="E48" i="5"/>
  <c r="L48" i="5" s="1"/>
  <c r="E49" i="5"/>
  <c r="L49" i="5" s="1"/>
  <c r="E50" i="5"/>
  <c r="L50" i="5" s="1"/>
  <c r="E51" i="5"/>
  <c r="L51" i="5" s="1"/>
  <c r="E52" i="5"/>
  <c r="L52" i="5" s="1"/>
  <c r="E53" i="5"/>
  <c r="L53" i="5" s="1"/>
  <c r="E54" i="5"/>
  <c r="L54" i="5" s="1"/>
  <c r="E55" i="5"/>
  <c r="L55" i="5" s="1"/>
  <c r="E56" i="5"/>
  <c r="L56" i="5" s="1"/>
  <c r="E57" i="5"/>
  <c r="L57" i="5" s="1"/>
  <c r="E8" i="5"/>
  <c r="L8" i="5" s="1"/>
  <c r="AO3" i="5"/>
  <c r="AO5" i="5"/>
  <c r="AO7" i="5"/>
  <c r="AO9" i="5"/>
  <c r="AO11" i="5"/>
  <c r="AO13" i="5"/>
  <c r="AO15" i="5"/>
  <c r="AO17" i="5"/>
  <c r="AO19" i="5"/>
  <c r="AO21" i="5"/>
  <c r="AO23" i="5"/>
  <c r="AO25" i="5"/>
  <c r="AO27" i="5"/>
  <c r="AO29" i="5"/>
  <c r="AO31" i="5"/>
  <c r="AO33" i="5"/>
  <c r="AO35" i="5"/>
  <c r="AO37" i="5"/>
  <c r="AO39" i="5"/>
  <c r="AO41" i="5"/>
  <c r="AO43" i="5"/>
  <c r="AO45" i="5"/>
  <c r="AO47" i="5"/>
  <c r="AO49" i="5"/>
  <c r="AO51" i="5"/>
  <c r="AO53" i="5"/>
  <c r="AO55" i="5"/>
  <c r="AO57" i="5"/>
  <c r="AH3" i="5"/>
  <c r="AH5" i="5"/>
  <c r="AH7" i="5"/>
  <c r="AH9" i="5"/>
  <c r="AH11" i="5"/>
  <c r="AH13" i="5"/>
  <c r="AH15" i="5"/>
  <c r="AH17" i="5"/>
  <c r="AH19" i="5"/>
  <c r="AH21" i="5"/>
  <c r="AH23" i="5"/>
  <c r="AH25" i="5"/>
  <c r="AH27" i="5"/>
  <c r="AH29" i="5"/>
  <c r="AH31" i="5"/>
  <c r="AH33" i="5"/>
  <c r="AH35" i="5"/>
  <c r="AH37" i="5"/>
  <c r="AH39" i="5"/>
  <c r="AH41" i="5"/>
  <c r="AH43" i="5"/>
  <c r="AH45" i="5"/>
  <c r="AH47" i="5"/>
  <c r="AH49" i="5"/>
  <c r="AH51" i="5"/>
  <c r="AH53" i="5"/>
  <c r="AH55" i="5"/>
  <c r="AH57" i="5"/>
  <c r="AA4" i="5"/>
  <c r="AA6" i="5"/>
  <c r="AA8" i="5"/>
  <c r="AA10" i="5"/>
  <c r="AA12" i="5"/>
  <c r="AA14" i="5"/>
  <c r="AA16" i="5"/>
  <c r="AA18" i="5"/>
  <c r="AA20" i="5"/>
  <c r="AA22" i="5"/>
  <c r="AA24" i="5"/>
  <c r="AA26" i="5"/>
  <c r="AA28" i="5"/>
  <c r="AA30" i="5"/>
  <c r="AA32" i="5"/>
  <c r="AA34" i="5"/>
  <c r="AA36" i="5"/>
  <c r="AA38" i="5"/>
  <c r="AA40" i="5"/>
  <c r="AA42" i="5"/>
  <c r="AA44" i="5"/>
  <c r="AA46" i="5"/>
  <c r="AA48" i="5"/>
  <c r="AA50" i="5"/>
  <c r="AA52" i="5"/>
  <c r="AA54" i="5"/>
  <c r="AA56" i="5"/>
  <c r="AA3" i="5"/>
  <c r="AA5" i="5"/>
  <c r="AA7" i="5"/>
  <c r="AA9" i="5"/>
  <c r="AA11" i="5"/>
  <c r="AA13" i="5"/>
  <c r="AA15" i="5"/>
  <c r="AA17" i="5"/>
  <c r="AA19" i="5"/>
  <c r="AA21" i="5"/>
  <c r="AA23" i="5"/>
  <c r="AA25" i="5"/>
  <c r="AA27" i="5"/>
  <c r="AA29" i="5"/>
  <c r="AA31" i="5"/>
  <c r="AA33" i="5"/>
  <c r="AA35" i="5"/>
  <c r="AA37" i="5"/>
  <c r="AA39" i="5"/>
  <c r="AA41" i="5"/>
  <c r="AA43" i="5"/>
  <c r="AA45" i="5"/>
  <c r="AA47" i="5"/>
  <c r="AA49" i="5"/>
  <c r="AA51" i="5"/>
  <c r="AA53" i="5"/>
  <c r="AA55" i="5"/>
  <c r="AA57" i="5"/>
  <c r="AO56" i="5"/>
  <c r="AH56" i="5"/>
  <c r="AO54" i="5"/>
  <c r="AH54" i="5"/>
  <c r="AO52" i="5"/>
  <c r="AH52" i="5"/>
  <c r="AO50" i="5"/>
  <c r="AH50" i="5"/>
  <c r="AO48" i="5"/>
  <c r="AH48" i="5"/>
  <c r="AO46" i="5"/>
  <c r="AH46" i="5"/>
  <c r="AO44" i="5"/>
  <c r="AH44" i="5"/>
  <c r="AO42" i="5"/>
  <c r="AH42" i="5"/>
  <c r="AO40" i="5"/>
  <c r="AH40" i="5"/>
  <c r="AO38" i="5"/>
  <c r="AH38" i="5"/>
  <c r="AO36" i="5"/>
  <c r="AH36" i="5"/>
  <c r="AO34" i="5"/>
  <c r="AH34" i="5"/>
  <c r="AO32" i="5"/>
  <c r="AH32" i="5"/>
  <c r="AO30" i="5"/>
  <c r="AH30" i="5"/>
  <c r="AO28" i="5"/>
  <c r="AH28" i="5"/>
  <c r="AO26" i="5"/>
  <c r="AH26" i="5"/>
  <c r="AO24" i="5"/>
  <c r="AH24" i="5"/>
  <c r="AO22" i="5"/>
  <c r="AH22" i="5"/>
  <c r="AO20" i="5"/>
  <c r="AH20" i="5"/>
  <c r="AO18" i="5"/>
  <c r="AH18" i="5"/>
  <c r="AO16" i="5"/>
  <c r="AH16" i="5"/>
  <c r="AO14" i="5"/>
  <c r="AH14" i="5"/>
  <c r="AO12" i="5"/>
  <c r="AH12" i="5"/>
  <c r="AO10" i="5"/>
  <c r="AH10" i="5"/>
  <c r="AO8" i="5"/>
  <c r="AH8" i="5"/>
  <c r="AO6" i="5"/>
  <c r="AH6" i="5"/>
  <c r="AO4" i="5"/>
  <c r="AH4" i="5"/>
  <c r="AO2" i="5"/>
  <c r="AH2" i="5"/>
  <c r="AA2" i="5"/>
  <c r="A9" i="4" l="1"/>
  <c r="A8" i="4"/>
  <c r="A3" i="4"/>
  <c r="A6" i="4"/>
  <c r="A7" i="4"/>
  <c r="A14" i="4"/>
  <c r="A4" i="4"/>
  <c r="A11" i="4"/>
  <c r="A5" i="4"/>
  <c r="A15" i="4"/>
  <c r="A13" i="4"/>
  <c r="A16" i="4"/>
  <c r="A10" i="4"/>
  <c r="F10" i="4" s="1"/>
  <c r="G10" i="4" s="1"/>
  <c r="A12" i="4"/>
  <c r="A17" i="4"/>
  <c r="A2" i="4"/>
  <c r="B10" i="2"/>
  <c r="BO2" i="1"/>
  <c r="BN2" i="1"/>
  <c r="BM2" i="1"/>
  <c r="BL2" i="1"/>
  <c r="BL6" i="1" s="1"/>
  <c r="BK2" i="1"/>
  <c r="BJ2" i="1"/>
  <c r="BJ8" i="1" s="1"/>
  <c r="BI2" i="1"/>
  <c r="BI8" i="1" s="1"/>
  <c r="BH2" i="1"/>
  <c r="BH12" i="1" s="1"/>
  <c r="BF2" i="1"/>
  <c r="BF4" i="1" s="1"/>
  <c r="BE2" i="1"/>
  <c r="BD2" i="1"/>
  <c r="BD27" i="1" s="1"/>
  <c r="BC2" i="1"/>
  <c r="BC30" i="1" s="1"/>
  <c r="BB2" i="1"/>
  <c r="BB7" i="1" s="1"/>
  <c r="BA2" i="1"/>
  <c r="BA8" i="1" s="1"/>
  <c r="AZ2" i="1"/>
  <c r="AZ7" i="1" s="1"/>
  <c r="AY2" i="1"/>
  <c r="AY11" i="1" s="1"/>
  <c r="AW2" i="1"/>
  <c r="AV2" i="1"/>
  <c r="AU2" i="1"/>
  <c r="AT2" i="1"/>
  <c r="AS2" i="1"/>
  <c r="AR2" i="1"/>
  <c r="AR9" i="1" s="1"/>
  <c r="AQ2" i="1"/>
  <c r="AQ7" i="1" s="1"/>
  <c r="AP2" i="1"/>
  <c r="AP9" i="1" s="1"/>
  <c r="AN2" i="1"/>
  <c r="AN4" i="1" s="1"/>
  <c r="AM2" i="1"/>
  <c r="AM4" i="1" s="1"/>
  <c r="AL2" i="1"/>
  <c r="AL20" i="1" s="1"/>
  <c r="AK2" i="1"/>
  <c r="AK9" i="1" s="1"/>
  <c r="AJ2" i="1"/>
  <c r="AJ3" i="1" s="1"/>
  <c r="AI2" i="1"/>
  <c r="AI11" i="1" s="1"/>
  <c r="AH2" i="1"/>
  <c r="AH26" i="1" s="1"/>
  <c r="AG2" i="1"/>
  <c r="AG8" i="1" s="1"/>
  <c r="AQ4" i="1"/>
  <c r="AR4" i="1"/>
  <c r="AS4" i="1"/>
  <c r="AV4" i="1"/>
  <c r="AW4" i="1"/>
  <c r="AZ4" i="1"/>
  <c r="BA4" i="1"/>
  <c r="BB4" i="1"/>
  <c r="BD4" i="1"/>
  <c r="BE4" i="1"/>
  <c r="BK4" i="1"/>
  <c r="BM4" i="1"/>
  <c r="BN4" i="1"/>
  <c r="BO4" i="1"/>
  <c r="AK5" i="1"/>
  <c r="AM5" i="1"/>
  <c r="AR5" i="1"/>
  <c r="AS5" i="1"/>
  <c r="AT5" i="1"/>
  <c r="AU5" i="1"/>
  <c r="AV5" i="1"/>
  <c r="AW5" i="1"/>
  <c r="BE5" i="1"/>
  <c r="BF5" i="1"/>
  <c r="BJ5" i="1"/>
  <c r="BK5" i="1"/>
  <c r="BL5" i="1"/>
  <c r="BM5" i="1"/>
  <c r="BN5" i="1"/>
  <c r="BO5" i="1"/>
  <c r="AG6" i="1"/>
  <c r="AM6" i="1"/>
  <c r="AT6" i="1"/>
  <c r="AU6" i="1"/>
  <c r="AV6" i="1"/>
  <c r="AW6" i="1"/>
  <c r="AZ6" i="1"/>
  <c r="BC6" i="1"/>
  <c r="BD6" i="1"/>
  <c r="BE6" i="1"/>
  <c r="BF6" i="1"/>
  <c r="BJ6" i="1"/>
  <c r="BK6" i="1"/>
  <c r="BM6" i="1"/>
  <c r="BN6" i="1"/>
  <c r="BO6" i="1"/>
  <c r="AM7" i="1"/>
  <c r="AN7" i="1"/>
  <c r="AS7" i="1"/>
  <c r="AU7" i="1"/>
  <c r="AV7" i="1"/>
  <c r="AW7" i="1"/>
  <c r="BD7" i="1"/>
  <c r="BE7" i="1"/>
  <c r="BF7" i="1"/>
  <c r="BK7" i="1"/>
  <c r="BL7" i="1"/>
  <c r="BM7" i="1"/>
  <c r="BN7" i="1"/>
  <c r="BO7" i="1"/>
  <c r="AM8" i="1"/>
  <c r="AN8" i="1"/>
  <c r="AP8" i="1"/>
  <c r="AR8" i="1"/>
  <c r="AT8" i="1"/>
  <c r="AV8" i="1"/>
  <c r="AW8" i="1"/>
  <c r="AY8" i="1"/>
  <c r="BE8" i="1"/>
  <c r="BF8" i="1"/>
  <c r="BK8" i="1"/>
  <c r="BL8" i="1"/>
  <c r="BM8" i="1"/>
  <c r="BN8" i="1"/>
  <c r="BO8" i="1"/>
  <c r="AG9" i="1"/>
  <c r="AI9" i="1"/>
  <c r="AJ9" i="1"/>
  <c r="AS9" i="1"/>
  <c r="AT9" i="1"/>
  <c r="AY9" i="1"/>
  <c r="BH9" i="1"/>
  <c r="BI9" i="1"/>
  <c r="BJ9" i="1"/>
  <c r="BK9" i="1"/>
  <c r="BL9" i="1"/>
  <c r="BM9" i="1"/>
  <c r="BN9" i="1"/>
  <c r="BO9" i="1"/>
  <c r="AG10" i="1"/>
  <c r="AN10" i="1"/>
  <c r="AU10" i="1"/>
  <c r="AW10" i="1"/>
  <c r="AY10" i="1"/>
  <c r="AZ10" i="1"/>
  <c r="BF10" i="1"/>
  <c r="BH10" i="1"/>
  <c r="BK10" i="1"/>
  <c r="BL10" i="1"/>
  <c r="BM10" i="1"/>
  <c r="BN10" i="1"/>
  <c r="BO10" i="1"/>
  <c r="AM11" i="1"/>
  <c r="AN11" i="1"/>
  <c r="AR11" i="1"/>
  <c r="AT11" i="1"/>
  <c r="AV11" i="1"/>
  <c r="BC11" i="1"/>
  <c r="BE11" i="1"/>
  <c r="BF11" i="1"/>
  <c r="BH11" i="1"/>
  <c r="BI11" i="1"/>
  <c r="BJ11" i="1"/>
  <c r="BK11" i="1"/>
  <c r="BL11" i="1"/>
  <c r="BM11" i="1"/>
  <c r="BN11" i="1"/>
  <c r="BO11" i="1"/>
  <c r="AK12" i="1"/>
  <c r="AN12" i="1"/>
  <c r="AP12" i="1"/>
  <c r="AQ12" i="1"/>
  <c r="AS12" i="1"/>
  <c r="AT12" i="1"/>
  <c r="AW12" i="1"/>
  <c r="AY12" i="1"/>
  <c r="AZ12" i="1"/>
  <c r="BF12" i="1"/>
  <c r="BK12" i="1"/>
  <c r="BL12" i="1"/>
  <c r="BM12" i="1"/>
  <c r="BN12" i="1"/>
  <c r="BO12" i="1"/>
  <c r="AL13" i="1"/>
  <c r="AM13" i="1"/>
  <c r="AN13" i="1"/>
  <c r="AP13" i="1"/>
  <c r="AR13" i="1"/>
  <c r="AU13" i="1"/>
  <c r="AV13" i="1"/>
  <c r="AW13" i="1"/>
  <c r="BE13" i="1"/>
  <c r="BF13" i="1"/>
  <c r="BH13" i="1"/>
  <c r="BI13" i="1"/>
  <c r="BJ13" i="1"/>
  <c r="BK13" i="1"/>
  <c r="BL13" i="1"/>
  <c r="BM13" i="1"/>
  <c r="BN13" i="1"/>
  <c r="BO13" i="1"/>
  <c r="AH14" i="1"/>
  <c r="AM14" i="1"/>
  <c r="AR14" i="1"/>
  <c r="AS14" i="1"/>
  <c r="AU14" i="1"/>
  <c r="AZ14" i="1"/>
  <c r="BH14" i="1"/>
  <c r="BI14" i="1"/>
  <c r="BJ14" i="1"/>
  <c r="BK14" i="1"/>
  <c r="BL14" i="1"/>
  <c r="BM14" i="1"/>
  <c r="BN14" i="1"/>
  <c r="BO14" i="1"/>
  <c r="AM15" i="1"/>
  <c r="AQ15" i="1"/>
  <c r="AT15" i="1"/>
  <c r="AU15" i="1"/>
  <c r="AV15" i="1"/>
  <c r="AW15" i="1"/>
  <c r="AZ15" i="1"/>
  <c r="BC15" i="1"/>
  <c r="BD15" i="1"/>
  <c r="BE15" i="1"/>
  <c r="BH15" i="1"/>
  <c r="BK15" i="1"/>
  <c r="BL15" i="1"/>
  <c r="BM15" i="1"/>
  <c r="BN15" i="1"/>
  <c r="BO15" i="1"/>
  <c r="AM16" i="1"/>
  <c r="AQ16" i="1"/>
  <c r="AR16" i="1"/>
  <c r="AS16" i="1"/>
  <c r="AU16" i="1"/>
  <c r="AV16" i="1"/>
  <c r="AZ16" i="1"/>
  <c r="BE16" i="1"/>
  <c r="BH16" i="1"/>
  <c r="BI16" i="1"/>
  <c r="BJ16" i="1"/>
  <c r="BK16" i="1"/>
  <c r="BL16" i="1"/>
  <c r="BM16" i="1"/>
  <c r="BN16" i="1"/>
  <c r="BO16" i="1"/>
  <c r="AG17" i="1"/>
  <c r="AJ17" i="1"/>
  <c r="AK17" i="1"/>
  <c r="AN17" i="1"/>
  <c r="AS17" i="1"/>
  <c r="AT17" i="1"/>
  <c r="AW17" i="1"/>
  <c r="AY17" i="1"/>
  <c r="BC17" i="1"/>
  <c r="BF17" i="1"/>
  <c r="BH17" i="1"/>
  <c r="BI17" i="1"/>
  <c r="BJ17" i="1"/>
  <c r="BK17" i="1"/>
  <c r="BL17" i="1"/>
  <c r="BM17" i="1"/>
  <c r="BN17" i="1"/>
  <c r="BO17" i="1"/>
  <c r="AN18" i="1"/>
  <c r="AP18" i="1"/>
  <c r="AR18" i="1"/>
  <c r="AT18" i="1"/>
  <c r="AW18" i="1"/>
  <c r="AY18" i="1"/>
  <c r="BA18" i="1"/>
  <c r="BC18" i="1"/>
  <c r="BF18" i="1"/>
  <c r="BH18" i="1"/>
  <c r="BI18" i="1"/>
  <c r="BK18" i="1"/>
  <c r="BL18" i="1"/>
  <c r="BM18" i="1"/>
  <c r="BN18" i="1"/>
  <c r="BO18" i="1"/>
  <c r="AG19" i="1"/>
  <c r="AL19" i="1"/>
  <c r="AM19" i="1"/>
  <c r="AN19" i="1"/>
  <c r="AP19" i="1"/>
  <c r="AS19" i="1"/>
  <c r="AU19" i="1"/>
  <c r="AW19" i="1"/>
  <c r="AY19" i="1"/>
  <c r="BE19" i="1"/>
  <c r="BF19" i="1"/>
  <c r="BH19" i="1"/>
  <c r="BI19" i="1"/>
  <c r="BJ19" i="1"/>
  <c r="BK19" i="1"/>
  <c r="BL19" i="1"/>
  <c r="BM19" i="1"/>
  <c r="BN19" i="1"/>
  <c r="BO19" i="1"/>
  <c r="AK20" i="1"/>
  <c r="AM20" i="1"/>
  <c r="AT20" i="1"/>
  <c r="AU20" i="1"/>
  <c r="AV20" i="1"/>
  <c r="AZ20" i="1"/>
  <c r="BC20" i="1"/>
  <c r="BD20" i="1"/>
  <c r="BE20" i="1"/>
  <c r="BH20" i="1"/>
  <c r="BI20" i="1"/>
  <c r="BJ20" i="1"/>
  <c r="BK20" i="1"/>
  <c r="BL20" i="1"/>
  <c r="BM20" i="1"/>
  <c r="BN20" i="1"/>
  <c r="BO20" i="1"/>
  <c r="AQ21" i="1"/>
  <c r="AR21" i="1"/>
  <c r="AS21" i="1"/>
  <c r="AT21" i="1"/>
  <c r="AV21" i="1"/>
  <c r="AZ21" i="1"/>
  <c r="BA21" i="1"/>
  <c r="BB21" i="1"/>
  <c r="BC21" i="1"/>
  <c r="BH21" i="1"/>
  <c r="BI21" i="1"/>
  <c r="BK21" i="1"/>
  <c r="BL21" i="1"/>
  <c r="BM21" i="1"/>
  <c r="BN21" i="1"/>
  <c r="BO21" i="1"/>
  <c r="AG22" i="1"/>
  <c r="AM22" i="1"/>
  <c r="AN22" i="1"/>
  <c r="AP22" i="1"/>
  <c r="AR22" i="1"/>
  <c r="AV22" i="1"/>
  <c r="AW22" i="1"/>
  <c r="AY22" i="1"/>
  <c r="BE22" i="1"/>
  <c r="BF22" i="1"/>
  <c r="BI22" i="1"/>
  <c r="BJ22" i="1"/>
  <c r="BK22" i="1"/>
  <c r="BL22" i="1"/>
  <c r="BM22" i="1"/>
  <c r="BN22" i="1"/>
  <c r="BO22" i="1"/>
  <c r="AI23" i="1"/>
  <c r="AJ23" i="1"/>
  <c r="AK23" i="1"/>
  <c r="AN23" i="1"/>
  <c r="AR23" i="1"/>
  <c r="AS23" i="1"/>
  <c r="AT23" i="1"/>
  <c r="AW23" i="1"/>
  <c r="AZ23" i="1"/>
  <c r="BC23" i="1"/>
  <c r="BF23" i="1"/>
  <c r="BH23" i="1"/>
  <c r="BI23" i="1"/>
  <c r="BJ23" i="1"/>
  <c r="BK23" i="1"/>
  <c r="BL23" i="1"/>
  <c r="BM23" i="1"/>
  <c r="BN23" i="1"/>
  <c r="BO23" i="1"/>
  <c r="AM24" i="1"/>
  <c r="AR24" i="1"/>
  <c r="AT24" i="1"/>
  <c r="AU24" i="1"/>
  <c r="AV24" i="1"/>
  <c r="BA24" i="1"/>
  <c r="BC24" i="1"/>
  <c r="BD24" i="1"/>
  <c r="BE24" i="1"/>
  <c r="BF24" i="1"/>
  <c r="BJ24" i="1"/>
  <c r="BK24" i="1"/>
  <c r="BL24" i="1"/>
  <c r="BM24" i="1"/>
  <c r="BN24" i="1"/>
  <c r="BO24" i="1"/>
  <c r="AG25" i="1"/>
  <c r="AK25" i="1"/>
  <c r="AL25" i="1"/>
  <c r="AN25" i="1"/>
  <c r="AP25" i="1"/>
  <c r="AT25" i="1"/>
  <c r="AU25" i="1"/>
  <c r="AV25" i="1"/>
  <c r="AW25" i="1"/>
  <c r="AY25" i="1"/>
  <c r="BF25" i="1"/>
  <c r="BH25" i="1"/>
  <c r="BI25" i="1"/>
  <c r="BJ25" i="1"/>
  <c r="BK25" i="1"/>
  <c r="BL25" i="1"/>
  <c r="BM25" i="1"/>
  <c r="BN25" i="1"/>
  <c r="BO25" i="1"/>
  <c r="AG26" i="1"/>
  <c r="AM26" i="1"/>
  <c r="AP26" i="1"/>
  <c r="AS26" i="1"/>
  <c r="AU26" i="1"/>
  <c r="AV26" i="1"/>
  <c r="AY26" i="1"/>
  <c r="AZ26" i="1"/>
  <c r="BD26" i="1"/>
  <c r="BE26" i="1"/>
  <c r="BH26" i="1"/>
  <c r="BI26" i="1"/>
  <c r="BJ26" i="1"/>
  <c r="BK26" i="1"/>
  <c r="BL26" i="1"/>
  <c r="BM26" i="1"/>
  <c r="BN26" i="1"/>
  <c r="BO26" i="1"/>
  <c r="AL27" i="1"/>
  <c r="AM27" i="1"/>
  <c r="AQ27" i="1"/>
  <c r="AS27" i="1"/>
  <c r="AU27" i="1"/>
  <c r="AV27" i="1"/>
  <c r="AY27" i="1"/>
  <c r="AZ27" i="1"/>
  <c r="BE27" i="1"/>
  <c r="BI27" i="1"/>
  <c r="BK27" i="1"/>
  <c r="BL27" i="1"/>
  <c r="BM27" i="1"/>
  <c r="BN27" i="1"/>
  <c r="BO27" i="1"/>
  <c r="AG28" i="1"/>
  <c r="AL28" i="1"/>
  <c r="AM28" i="1"/>
  <c r="AP28" i="1"/>
  <c r="AR28" i="1"/>
  <c r="AU28" i="1"/>
  <c r="AV28" i="1"/>
  <c r="AY28" i="1"/>
  <c r="BE28" i="1"/>
  <c r="BH28" i="1"/>
  <c r="BI28" i="1"/>
  <c r="BJ28" i="1"/>
  <c r="BK28" i="1"/>
  <c r="BL28" i="1"/>
  <c r="BM28" i="1"/>
  <c r="BN28" i="1"/>
  <c r="BO28" i="1"/>
  <c r="AG29" i="1"/>
  <c r="AN29" i="1"/>
  <c r="AP29" i="1"/>
  <c r="AR29" i="1"/>
  <c r="AT29" i="1"/>
  <c r="AW29" i="1"/>
  <c r="AY29" i="1"/>
  <c r="AZ29" i="1"/>
  <c r="BC29" i="1"/>
  <c r="BF29" i="1"/>
  <c r="BH29" i="1"/>
  <c r="BI29" i="1"/>
  <c r="BJ29" i="1"/>
  <c r="BK29" i="1"/>
  <c r="BL29" i="1"/>
  <c r="BM29" i="1"/>
  <c r="BN29" i="1"/>
  <c r="BO29" i="1"/>
  <c r="AK30" i="1"/>
  <c r="AM30" i="1"/>
  <c r="AN30" i="1"/>
  <c r="AS30" i="1"/>
  <c r="AT30" i="1"/>
  <c r="AU30" i="1"/>
  <c r="AV30" i="1"/>
  <c r="AW30" i="1"/>
  <c r="AZ30" i="1"/>
  <c r="BE30" i="1"/>
  <c r="BF30" i="1"/>
  <c r="BH30" i="1"/>
  <c r="BJ30" i="1"/>
  <c r="BK30" i="1"/>
  <c r="BL30" i="1"/>
  <c r="BM30" i="1"/>
  <c r="BN30" i="1"/>
  <c r="BO30" i="1"/>
  <c r="AA4" i="1"/>
  <c r="AL4" i="1" s="1"/>
  <c r="AB4" i="1"/>
  <c r="AK4" i="1" s="1"/>
  <c r="AA5" i="1"/>
  <c r="AB5" i="1"/>
  <c r="AG5" i="1" s="1"/>
  <c r="AA6" i="1"/>
  <c r="AB6" i="1"/>
  <c r="AA7" i="1"/>
  <c r="AB7" i="1"/>
  <c r="AA8" i="1"/>
  <c r="AB8" i="1"/>
  <c r="AA9" i="1"/>
  <c r="AM9" i="1" s="1"/>
  <c r="AB9" i="1"/>
  <c r="AN9" i="1" s="1"/>
  <c r="AA10" i="1"/>
  <c r="AM10" i="1" s="1"/>
  <c r="AB10" i="1"/>
  <c r="AA11" i="1"/>
  <c r="AL11" i="1" s="1"/>
  <c r="AB11" i="1"/>
  <c r="AA12" i="1"/>
  <c r="AB12" i="1"/>
  <c r="AA13" i="1"/>
  <c r="AG13" i="1" s="1"/>
  <c r="AB13" i="1"/>
  <c r="AH13" i="1" s="1"/>
  <c r="AA14" i="1"/>
  <c r="AN14" i="1" s="1"/>
  <c r="AB14" i="1"/>
  <c r="AA15" i="1"/>
  <c r="AB15" i="1"/>
  <c r="AA16" i="1"/>
  <c r="AB16" i="1"/>
  <c r="AA17" i="1"/>
  <c r="AB17" i="1"/>
  <c r="AM17" i="1" s="1"/>
  <c r="AA18" i="1"/>
  <c r="AB18" i="1"/>
  <c r="AA19" i="1"/>
  <c r="AB19" i="1"/>
  <c r="AA20" i="1"/>
  <c r="AG20" i="1" s="1"/>
  <c r="AB20" i="1"/>
  <c r="AJ20" i="1" s="1"/>
  <c r="AA21" i="1"/>
  <c r="AG21" i="1" s="1"/>
  <c r="AB21" i="1"/>
  <c r="AN21" i="1" s="1"/>
  <c r="AA22" i="1"/>
  <c r="AK22" i="1" s="1"/>
  <c r="AB22" i="1"/>
  <c r="AA23" i="1"/>
  <c r="AM23" i="1" s="1"/>
  <c r="AB23" i="1"/>
  <c r="AA24" i="1"/>
  <c r="AN24" i="1" s="1"/>
  <c r="AB24" i="1"/>
  <c r="AA25" i="1"/>
  <c r="AB25" i="1"/>
  <c r="AA26" i="1"/>
  <c r="AB26" i="1"/>
  <c r="AK26" i="1" s="1"/>
  <c r="AA27" i="1"/>
  <c r="AG27" i="1" s="1"/>
  <c r="AB27" i="1"/>
  <c r="AN27" i="1" s="1"/>
  <c r="AA28" i="1"/>
  <c r="AK28" i="1" s="1"/>
  <c r="AB28" i="1"/>
  <c r="AJ28" i="1" s="1"/>
  <c r="AA29" i="1"/>
  <c r="AB29" i="1"/>
  <c r="AL29" i="1" s="1"/>
  <c r="AA30" i="1"/>
  <c r="AB30" i="1"/>
  <c r="V30" i="1"/>
  <c r="U30" i="1"/>
  <c r="AY30" i="1" s="1"/>
  <c r="V29" i="1"/>
  <c r="U29" i="1"/>
  <c r="BE29" i="1" s="1"/>
  <c r="V28" i="1"/>
  <c r="U28" i="1"/>
  <c r="BC28" i="1" s="1"/>
  <c r="V27" i="1"/>
  <c r="BF27" i="1" s="1"/>
  <c r="U27" i="1"/>
  <c r="BC27" i="1" s="1"/>
  <c r="V26" i="1"/>
  <c r="BF26" i="1" s="1"/>
  <c r="U26" i="1"/>
  <c r="V25" i="1"/>
  <c r="BE25" i="1" s="1"/>
  <c r="U25" i="1"/>
  <c r="BB25" i="1" s="1"/>
  <c r="V24" i="1"/>
  <c r="AZ24" i="1" s="1"/>
  <c r="U24" i="1"/>
  <c r="AY24" i="1" s="1"/>
  <c r="V23" i="1"/>
  <c r="AY23" i="1" s="1"/>
  <c r="U23" i="1"/>
  <c r="V22" i="1"/>
  <c r="AZ22" i="1" s="1"/>
  <c r="U22" i="1"/>
  <c r="V21" i="1"/>
  <c r="BF21" i="1" s="1"/>
  <c r="U21" i="1"/>
  <c r="V20" i="1"/>
  <c r="U20" i="1"/>
  <c r="AY20" i="1" s="1"/>
  <c r="V19" i="1"/>
  <c r="U19" i="1"/>
  <c r="AZ19" i="1" s="1"/>
  <c r="V18" i="1"/>
  <c r="BD18" i="1" s="1"/>
  <c r="U18" i="1"/>
  <c r="V17" i="1"/>
  <c r="BE17" i="1" s="1"/>
  <c r="U17" i="1"/>
  <c r="AZ17" i="1" s="1"/>
  <c r="V16" i="1"/>
  <c r="BF16" i="1" s="1"/>
  <c r="U16" i="1"/>
  <c r="BC16" i="1" s="1"/>
  <c r="V15" i="1"/>
  <c r="AY15" i="1" s="1"/>
  <c r="U15" i="1"/>
  <c r="V14" i="1"/>
  <c r="U14" i="1"/>
  <c r="BE14" i="1" s="1"/>
  <c r="V13" i="1"/>
  <c r="AZ13" i="1" s="1"/>
  <c r="U13" i="1"/>
  <c r="AY13" i="1" s="1"/>
  <c r="V12" i="1"/>
  <c r="BE12" i="1" s="1"/>
  <c r="U12" i="1"/>
  <c r="V11" i="1"/>
  <c r="U11" i="1"/>
  <c r="BD11" i="1" s="1"/>
  <c r="V10" i="1"/>
  <c r="U10" i="1"/>
  <c r="V9" i="1"/>
  <c r="U9" i="1"/>
  <c r="BE9" i="1" s="1"/>
  <c r="V8" i="1"/>
  <c r="BD8" i="1" s="1"/>
  <c r="U8" i="1"/>
  <c r="BB8" i="1" s="1"/>
  <c r="V7" i="1"/>
  <c r="AY7" i="1" s="1"/>
  <c r="U7" i="1"/>
  <c r="L30" i="1"/>
  <c r="AR30" i="1" s="1"/>
  <c r="K30" i="1"/>
  <c r="AQ30" i="1" s="1"/>
  <c r="L29" i="1"/>
  <c r="AU29" i="1" s="1"/>
  <c r="K29" i="1"/>
  <c r="AV29" i="1" s="1"/>
  <c r="L28" i="1"/>
  <c r="AS28" i="1" s="1"/>
  <c r="K28" i="1"/>
  <c r="AT28" i="1" s="1"/>
  <c r="L27" i="1"/>
  <c r="AW27" i="1" s="1"/>
  <c r="K27" i="1"/>
  <c r="AP27" i="1" s="1"/>
  <c r="L26" i="1"/>
  <c r="K26" i="1"/>
  <c r="AR26" i="1" s="1"/>
  <c r="L25" i="1"/>
  <c r="AQ25" i="1" s="1"/>
  <c r="K25" i="1"/>
  <c r="AS25" i="1" s="1"/>
  <c r="L24" i="1"/>
  <c r="AQ24" i="1" s="1"/>
  <c r="K24" i="1"/>
  <c r="AW24" i="1" s="1"/>
  <c r="L23" i="1"/>
  <c r="K23" i="1"/>
  <c r="L22" i="1"/>
  <c r="AQ22" i="1" s="1"/>
  <c r="K22" i="1"/>
  <c r="AT22" i="1" s="1"/>
  <c r="L21" i="1"/>
  <c r="AW21" i="1" s="1"/>
  <c r="K21" i="1"/>
  <c r="AU21" i="1" s="1"/>
  <c r="L20" i="1"/>
  <c r="AS20" i="1" s="1"/>
  <c r="K20" i="1"/>
  <c r="AW20" i="1" s="1"/>
  <c r="L19" i="1"/>
  <c r="AR19" i="1" s="1"/>
  <c r="K19" i="1"/>
  <c r="AV19" i="1" s="1"/>
  <c r="L18" i="1"/>
  <c r="AU18" i="1" s="1"/>
  <c r="K18" i="1"/>
  <c r="AS18" i="1" s="1"/>
  <c r="L17" i="1"/>
  <c r="AV17" i="1" s="1"/>
  <c r="K17" i="1"/>
  <c r="AQ17" i="1" s="1"/>
  <c r="L16" i="1"/>
  <c r="AW16" i="1" s="1"/>
  <c r="K16" i="1"/>
  <c r="AT16" i="1" s="1"/>
  <c r="L15" i="1"/>
  <c r="AP15" i="1" s="1"/>
  <c r="K15" i="1"/>
  <c r="AR15" i="1" s="1"/>
  <c r="L14" i="1"/>
  <c r="AT14" i="1" s="1"/>
  <c r="K14" i="1"/>
  <c r="AV14" i="1" s="1"/>
  <c r="L13" i="1"/>
  <c r="AQ13" i="1" s="1"/>
  <c r="K13" i="1"/>
  <c r="AS13" i="1" s="1"/>
  <c r="L12" i="1"/>
  <c r="K12" i="1"/>
  <c r="AU12" i="1" s="1"/>
  <c r="L11" i="1"/>
  <c r="AS11" i="1" s="1"/>
  <c r="K11" i="1"/>
  <c r="AW11" i="1" s="1"/>
  <c r="L10" i="1"/>
  <c r="AR10" i="1" s="1"/>
  <c r="K10" i="1"/>
  <c r="AS10" i="1" s="1"/>
  <c r="L9" i="1"/>
  <c r="AU9" i="1" s="1"/>
  <c r="K9" i="1"/>
  <c r="AV9" i="1" s="1"/>
  <c r="L8" i="1"/>
  <c r="AU8" i="1" s="1"/>
  <c r="K8" i="1"/>
  <c r="AQ8" i="1" s="1"/>
  <c r="L7" i="1"/>
  <c r="AP7" i="1" s="1"/>
  <c r="K7" i="1"/>
  <c r="AT7" i="1" s="1"/>
  <c r="I6" i="3"/>
  <c r="I16" i="3"/>
  <c r="I17" i="3"/>
  <c r="I5" i="3"/>
  <c r="I4" i="3"/>
  <c r="I12" i="3"/>
  <c r="I18" i="3"/>
  <c r="I10" i="3"/>
  <c r="I13" i="3"/>
  <c r="I7" i="3"/>
  <c r="I9" i="3"/>
  <c r="I11" i="3"/>
  <c r="I8" i="3"/>
  <c r="I3" i="3"/>
  <c r="I15" i="3"/>
  <c r="I14" i="3"/>
  <c r="BI3" i="1"/>
  <c r="BJ3" i="1"/>
  <c r="BK3" i="1"/>
  <c r="BL3" i="1"/>
  <c r="BM3" i="1"/>
  <c r="BN3" i="1"/>
  <c r="BO3" i="1"/>
  <c r="BH3" i="1"/>
  <c r="AZ3" i="1"/>
  <c r="BC3" i="1"/>
  <c r="BD3" i="1"/>
  <c r="AY3" i="1"/>
  <c r="AP3" i="1"/>
  <c r="U4" i="1"/>
  <c r="V4" i="1"/>
  <c r="BC4" i="1" s="1"/>
  <c r="U5" i="1"/>
  <c r="AZ5" i="1" s="1"/>
  <c r="V5" i="1"/>
  <c r="U6" i="1"/>
  <c r="V6" i="1"/>
  <c r="K4" i="1"/>
  <c r="AU4" i="1" s="1"/>
  <c r="L4" i="1"/>
  <c r="AT4" i="1" s="1"/>
  <c r="K5" i="1"/>
  <c r="AQ5" i="1" s="1"/>
  <c r="L5" i="1"/>
  <c r="K6" i="1"/>
  <c r="AS6" i="1" s="1"/>
  <c r="L6" i="1"/>
  <c r="AR6" i="1" s="1"/>
  <c r="AK3" i="1"/>
  <c r="AL3" i="1"/>
  <c r="AH3" i="1"/>
  <c r="AG3" i="1"/>
  <c r="AA3" i="1"/>
  <c r="AN3" i="1" s="1"/>
  <c r="V3" i="1"/>
  <c r="U3" i="1"/>
  <c r="BF3" i="1" s="1"/>
  <c r="AS3" i="1"/>
  <c r="AT3" i="1"/>
  <c r="AU3" i="1"/>
  <c r="L3" i="1"/>
  <c r="AQ3" i="1" s="1"/>
  <c r="K3" i="1"/>
  <c r="AW3" i="1" s="1"/>
  <c r="AB3" i="1"/>
  <c r="I20" i="3" l="1"/>
  <c r="I21" i="3"/>
  <c r="AI28" i="1"/>
  <c r="AL5" i="1"/>
  <c r="AH20" i="1"/>
  <c r="AH23" i="1"/>
  <c r="BB10" i="1"/>
  <c r="BB26" i="1"/>
  <c r="AH11" i="1"/>
  <c r="BB23" i="1"/>
  <c r="AJ22" i="1"/>
  <c r="AL16" i="1"/>
  <c r="BD14" i="1"/>
  <c r="BD10" i="1"/>
  <c r="AJ5" i="1"/>
  <c r="AI19" i="1"/>
  <c r="BA23" i="1"/>
  <c r="BA11" i="1"/>
  <c r="AI5" i="1"/>
  <c r="AH19" i="1"/>
  <c r="BB14" i="1"/>
  <c r="AH16" i="1"/>
  <c r="BA14" i="1"/>
  <c r="AL7" i="1"/>
  <c r="AH9" i="1"/>
  <c r="BB18" i="1"/>
  <c r="BB11" i="1"/>
  <c r="AH18" i="1"/>
  <c r="BB17" i="1"/>
  <c r="AJ12" i="1"/>
  <c r="BC9" i="1"/>
  <c r="AJ7" i="1"/>
  <c r="BD5" i="1"/>
  <c r="BA26" i="1"/>
  <c r="AI3" i="1"/>
  <c r="AI22" i="1"/>
  <c r="AJ16" i="1"/>
  <c r="BB20" i="1"/>
  <c r="AJ25" i="1"/>
  <c r="AH17" i="1"/>
  <c r="AJ30" i="1"/>
  <c r="AH27" i="1"/>
  <c r="AK21" i="1"/>
  <c r="AH12" i="1"/>
  <c r="BB9" i="1"/>
  <c r="BH8" i="1"/>
  <c r="AH7" i="1"/>
  <c r="AQ6" i="1"/>
  <c r="BC5" i="1"/>
  <c r="AJ4" i="1"/>
  <c r="BF9" i="1"/>
  <c r="BB3" i="1"/>
  <c r="AJ19" i="1"/>
  <c r="BB28" i="1"/>
  <c r="AK24" i="1"/>
  <c r="AL18" i="1"/>
  <c r="BA6" i="1"/>
  <c r="BD21" i="1"/>
  <c r="AG16" i="1"/>
  <c r="AL8" i="1"/>
  <c r="BI30" i="1"/>
  <c r="AQ29" i="1"/>
  <c r="BD28" i="1"/>
  <c r="BJ27" i="1"/>
  <c r="AQ26" i="1"/>
  <c r="BD25" i="1"/>
  <c r="AI24" i="1"/>
  <c r="BH22" i="1"/>
  <c r="AJ21" i="1"/>
  <c r="AK18" i="1"/>
  <c r="AL15" i="1"/>
  <c r="BJ12" i="1"/>
  <c r="AG12" i="1"/>
  <c r="AP11" i="1"/>
  <c r="AQ10" i="1"/>
  <c r="AP6" i="1"/>
  <c r="BB5" i="1"/>
  <c r="BL4" i="1"/>
  <c r="AI4" i="1"/>
  <c r="AO4" i="1" s="1"/>
  <c r="BA29" i="1"/>
  <c r="AI10" i="1"/>
  <c r="BA28" i="1"/>
  <c r="BC25" i="1"/>
  <c r="AI21" i="1"/>
  <c r="AJ18" i="1"/>
  <c r="BD16" i="1"/>
  <c r="AK15" i="1"/>
  <c r="BD13" i="1"/>
  <c r="BI12" i="1"/>
  <c r="AP10" i="1"/>
  <c r="BJ7" i="1"/>
  <c r="BA5" i="1"/>
  <c r="AG4" i="1"/>
  <c r="BA10" i="1"/>
  <c r="P11" i="4"/>
  <c r="AH25" i="1"/>
  <c r="AL24" i="1"/>
  <c r="BB6" i="1"/>
  <c r="AK16" i="1"/>
  <c r="BC22" i="1"/>
  <c r="AG23" i="1"/>
  <c r="AG15" i="1"/>
  <c r="AG7" i="1"/>
  <c r="BH27" i="1"/>
  <c r="BI24" i="1"/>
  <c r="AQ23" i="1"/>
  <c r="AH21" i="1"/>
  <c r="AQ20" i="1"/>
  <c r="BD19" i="1"/>
  <c r="AI18" i="1"/>
  <c r="BB16" i="1"/>
  <c r="AH15" i="1"/>
  <c r="AQ14" i="1"/>
  <c r="BA13" i="1"/>
  <c r="BC8" i="1"/>
  <c r="BI7" i="1"/>
  <c r="AL6" i="1"/>
  <c r="BJ4" i="1"/>
  <c r="AH4" i="1"/>
  <c r="AJ27" i="1"/>
  <c r="BD29" i="1"/>
  <c r="BA3" i="1"/>
  <c r="BC14" i="1"/>
  <c r="BA30" i="1"/>
  <c r="AI15" i="1"/>
  <c r="AK7" i="1"/>
  <c r="AK29" i="1"/>
  <c r="AL26" i="1"/>
  <c r="BH24" i="1"/>
  <c r="AP23" i="1"/>
  <c r="BA22" i="1"/>
  <c r="BJ21" i="1"/>
  <c r="AP20" i="1"/>
  <c r="BB19" i="1"/>
  <c r="BJ18" i="1"/>
  <c r="AG18" i="1"/>
  <c r="AP17" i="1"/>
  <c r="BA16" i="1"/>
  <c r="BJ15" i="1"/>
  <c r="BC12" i="1"/>
  <c r="AG11" i="1"/>
  <c r="AL10" i="1"/>
  <c r="BH7" i="1"/>
  <c r="AK6" i="1"/>
  <c r="BH4" i="1"/>
  <c r="AJ14" i="1"/>
  <c r="BA19" i="1"/>
  <c r="BD12" i="1"/>
  <c r="BC7" i="1"/>
  <c r="BA15" i="1"/>
  <c r="AI30" i="1"/>
  <c r="AH22" i="1"/>
  <c r="AK14" i="1"/>
  <c r="AI6" i="1"/>
  <c r="AI29" i="1"/>
  <c r="AJ26" i="1"/>
  <c r="BI15" i="1"/>
  <c r="AL14" i="1"/>
  <c r="BB12" i="1"/>
  <c r="AH10" i="1"/>
  <c r="AQ9" i="1"/>
  <c r="AH6" i="1"/>
  <c r="AK11" i="1"/>
  <c r="AH30" i="1"/>
  <c r="AJ6" i="1"/>
  <c r="BB30" i="1"/>
  <c r="AH29" i="1"/>
  <c r="BB27" i="1"/>
  <c r="AI14" i="1"/>
  <c r="C11" i="4"/>
  <c r="F11" i="4"/>
  <c r="G11" i="4" s="1"/>
  <c r="U11" i="4"/>
  <c r="V11" i="4" s="1"/>
  <c r="W11" i="4"/>
  <c r="X11" i="4" s="1"/>
  <c r="K11" i="4"/>
  <c r="L11" i="4" s="1"/>
  <c r="C5" i="4"/>
  <c r="K5" i="4"/>
  <c r="L5" i="4" s="1"/>
  <c r="P5" i="4"/>
  <c r="F5" i="4"/>
  <c r="G5" i="4" s="1"/>
  <c r="U5" i="4"/>
  <c r="V5" i="4" s="1"/>
  <c r="W5" i="4"/>
  <c r="X5" i="4" s="1"/>
  <c r="C4" i="4"/>
  <c r="U4" i="4"/>
  <c r="V4" i="4" s="1"/>
  <c r="W4" i="4"/>
  <c r="X4" i="4" s="1"/>
  <c r="P4" i="4"/>
  <c r="K4" i="4"/>
  <c r="L4" i="4" s="1"/>
  <c r="F4" i="4"/>
  <c r="G4" i="4" s="1"/>
  <c r="C14" i="4"/>
  <c r="P14" i="4"/>
  <c r="U14" i="4"/>
  <c r="V14" i="4" s="1"/>
  <c r="W14" i="4"/>
  <c r="X14" i="4" s="1"/>
  <c r="K14" i="4"/>
  <c r="L14" i="4" s="1"/>
  <c r="F14" i="4"/>
  <c r="G14" i="4" s="1"/>
  <c r="C13" i="4"/>
  <c r="P13" i="4"/>
  <c r="K13" i="4"/>
  <c r="L13" i="4" s="1"/>
  <c r="F13" i="4"/>
  <c r="G13" i="4" s="1"/>
  <c r="U13" i="4"/>
  <c r="V13" i="4" s="1"/>
  <c r="W13" i="4"/>
  <c r="X13" i="4" s="1"/>
  <c r="C7" i="4"/>
  <c r="P7" i="4"/>
  <c r="U7" i="4"/>
  <c r="V7" i="4" s="1"/>
  <c r="W7" i="4"/>
  <c r="X7" i="4" s="1"/>
  <c r="K7" i="4"/>
  <c r="L7" i="4" s="1"/>
  <c r="F7" i="4"/>
  <c r="G7" i="4" s="1"/>
  <c r="P6" i="4"/>
  <c r="U6" i="4"/>
  <c r="V6" i="4" s="1"/>
  <c r="W6" i="4"/>
  <c r="X6" i="4" s="1"/>
  <c r="K6" i="4"/>
  <c r="L6" i="4" s="1"/>
  <c r="F6" i="4"/>
  <c r="G6" i="4" s="1"/>
  <c r="U3" i="4"/>
  <c r="V3" i="4" s="1"/>
  <c r="W3" i="4"/>
  <c r="X3" i="4" s="1"/>
  <c r="K3" i="4"/>
  <c r="L3" i="4" s="1"/>
  <c r="F3" i="4"/>
  <c r="G3" i="4" s="1"/>
  <c r="P3" i="4"/>
  <c r="U8" i="4"/>
  <c r="V8" i="4" s="1"/>
  <c r="W8" i="4"/>
  <c r="X8" i="4" s="1"/>
  <c r="K8" i="4"/>
  <c r="L8" i="4" s="1"/>
  <c r="F8" i="4"/>
  <c r="G8" i="4" s="1"/>
  <c r="P8" i="4"/>
  <c r="W9" i="4"/>
  <c r="X9" i="4" s="1"/>
  <c r="U9" i="4"/>
  <c r="V9" i="4" s="1"/>
  <c r="K9" i="4"/>
  <c r="L9" i="4" s="1"/>
  <c r="F9" i="4"/>
  <c r="G9" i="4" s="1"/>
  <c r="P9" i="4"/>
  <c r="W2" i="4"/>
  <c r="X2" i="4" s="1"/>
  <c r="K2" i="4"/>
  <c r="L2" i="4" s="1"/>
  <c r="F2" i="4"/>
  <c r="G2" i="4" s="1"/>
  <c r="P2" i="4"/>
  <c r="U2" i="4"/>
  <c r="V2" i="4" s="1"/>
  <c r="C17" i="4"/>
  <c r="K17" i="4"/>
  <c r="L17" i="4" s="1"/>
  <c r="F17" i="4"/>
  <c r="G17" i="4" s="1"/>
  <c r="W17" i="4"/>
  <c r="X17" i="4" s="1"/>
  <c r="P17" i="4"/>
  <c r="U17" i="4"/>
  <c r="V17" i="4" s="1"/>
  <c r="C15" i="4"/>
  <c r="P15" i="4"/>
  <c r="K15" i="4"/>
  <c r="L15" i="4" s="1"/>
  <c r="F15" i="4"/>
  <c r="G15" i="4" s="1"/>
  <c r="U15" i="4"/>
  <c r="V15" i="4" s="1"/>
  <c r="W15" i="4"/>
  <c r="X15" i="4" s="1"/>
  <c r="C12" i="4"/>
  <c r="K12" i="4"/>
  <c r="L12" i="4" s="1"/>
  <c r="F12" i="4"/>
  <c r="G12" i="4" s="1"/>
  <c r="P12" i="4"/>
  <c r="U12" i="4"/>
  <c r="V12" i="4" s="1"/>
  <c r="W12" i="4"/>
  <c r="X12" i="4" s="1"/>
  <c r="C10" i="4"/>
  <c r="W10" i="4"/>
  <c r="X10" i="4" s="1"/>
  <c r="P10" i="4"/>
  <c r="K10" i="4"/>
  <c r="L10" i="4" s="1"/>
  <c r="U10" i="4"/>
  <c r="V10" i="4" s="1"/>
  <c r="C16" i="4"/>
  <c r="U16" i="4"/>
  <c r="V16" i="4" s="1"/>
  <c r="F16" i="4"/>
  <c r="G16" i="4" s="1"/>
  <c r="P16" i="4"/>
  <c r="K16" i="4"/>
  <c r="L16" i="4" s="1"/>
  <c r="W16" i="4"/>
  <c r="X16" i="4" s="1"/>
  <c r="C6" i="4"/>
  <c r="C3" i="4"/>
  <c r="C8" i="4"/>
  <c r="C9" i="4"/>
  <c r="C2" i="4"/>
  <c r="BA27" i="1"/>
  <c r="AU23" i="1"/>
  <c r="AT26" i="1"/>
  <c r="AY21" i="1"/>
  <c r="AD18" i="1"/>
  <c r="AP14" i="1"/>
  <c r="AR12" i="1"/>
  <c r="AT10" i="1"/>
  <c r="AS8" i="1"/>
  <c r="AM3" i="1"/>
  <c r="AV3" i="1"/>
  <c r="AH8" i="1"/>
  <c r="AD5" i="1"/>
  <c r="AH28" i="1"/>
  <c r="BF20" i="1"/>
  <c r="BA7" i="1"/>
  <c r="BD23" i="1"/>
  <c r="BE18" i="1"/>
  <c r="AY14" i="1"/>
  <c r="AJ13" i="1"/>
  <c r="BF28" i="1"/>
  <c r="AY16" i="1"/>
  <c r="AH5" i="1"/>
  <c r="BD30" i="1"/>
  <c r="BD22" i="1"/>
  <c r="BA20" i="1"/>
  <c r="AZ18" i="1"/>
  <c r="AI12" i="1"/>
  <c r="BB22" i="1"/>
  <c r="AK19" i="1"/>
  <c r="BF15" i="1"/>
  <c r="AZ8" i="1"/>
  <c r="BB24" i="1"/>
  <c r="AD6" i="1"/>
  <c r="AJ29" i="1"/>
  <c r="AZ28" i="1"/>
  <c r="AI25" i="1"/>
  <c r="BC13" i="1"/>
  <c r="AZ11" i="1"/>
  <c r="BE10" i="1"/>
  <c r="BC26" i="1"/>
  <c r="BB13" i="1"/>
  <c r="AD4" i="1"/>
  <c r="BE21" i="1"/>
  <c r="BD17" i="1"/>
  <c r="BB15" i="1"/>
  <c r="BC10" i="1"/>
  <c r="BE23" i="1"/>
  <c r="BC19" i="1"/>
  <c r="BE3" i="1"/>
  <c r="BA12" i="1"/>
  <c r="BB29" i="1"/>
  <c r="BA25" i="1"/>
  <c r="BA17" i="1"/>
  <c r="BF14" i="1"/>
  <c r="AZ25" i="1"/>
  <c r="BD9" i="1"/>
  <c r="AN26" i="1"/>
  <c r="AN20" i="1"/>
  <c r="AR17" i="1"/>
  <c r="AV18" i="1"/>
  <c r="AJ8" i="1"/>
  <c r="AD24" i="1"/>
  <c r="AT27" i="1"/>
  <c r="AR7" i="1"/>
  <c r="AS24" i="1"/>
  <c r="AL17" i="1"/>
  <c r="AS15" i="1"/>
  <c r="AM12" i="1"/>
  <c r="AL9" i="1"/>
  <c r="AO9" i="1" s="1"/>
  <c r="AR27" i="1"/>
  <c r="AP21" i="1"/>
  <c r="AI20" i="1"/>
  <c r="AQ18" i="1"/>
  <c r="AG14" i="1"/>
  <c r="AD23" i="1"/>
  <c r="AW28" i="1"/>
  <c r="AP24" i="1"/>
  <c r="AM21" i="1"/>
  <c r="AN15" i="1"/>
  <c r="AK10" i="1"/>
  <c r="AP30" i="1"/>
  <c r="AI17" i="1"/>
  <c r="AT13" i="1"/>
  <c r="AU22" i="1"/>
  <c r="AT19" i="1"/>
  <c r="AM18" i="1"/>
  <c r="AU11" i="1"/>
  <c r="AI7" i="1"/>
  <c r="AK27" i="1"/>
  <c r="AR25" i="1"/>
  <c r="AS22" i="1"/>
  <c r="AL30" i="1"/>
  <c r="AQ28" i="1"/>
  <c r="AJ24" i="1"/>
  <c r="AQ19" i="1"/>
  <c r="AJ15" i="1"/>
  <c r="AO15" i="1" s="1"/>
  <c r="AW14" i="1"/>
  <c r="AI27" i="1"/>
  <c r="AW26" i="1"/>
  <c r="AQ11" i="1"/>
  <c r="AW9" i="1"/>
  <c r="AN28" i="1"/>
  <c r="AG24" i="1"/>
  <c r="AV23" i="1"/>
  <c r="AP16" i="1"/>
  <c r="AD22" i="1"/>
  <c r="AG30" i="1"/>
  <c r="AD20" i="1"/>
  <c r="AS29" i="1"/>
  <c r="AL22" i="1"/>
  <c r="AR20" i="1"/>
  <c r="AU17" i="1"/>
  <c r="AU31" i="1" s="1"/>
  <c r="AK13" i="1"/>
  <c r="AV12" i="1"/>
  <c r="AV10" i="1"/>
  <c r="BI4" i="1"/>
  <c r="BI5" i="1"/>
  <c r="BH5" i="1"/>
  <c r="BI6" i="1"/>
  <c r="BH6" i="1"/>
  <c r="BJ10" i="1"/>
  <c r="BJ31" i="1" s="1"/>
  <c r="BI10" i="1"/>
  <c r="AY4" i="1"/>
  <c r="AY5" i="1"/>
  <c r="AY6" i="1"/>
  <c r="BA9" i="1"/>
  <c r="AZ9" i="1"/>
  <c r="AP4" i="1"/>
  <c r="AP5" i="1"/>
  <c r="AN6" i="1"/>
  <c r="AO6" i="1" s="1"/>
  <c r="AN5" i="1"/>
  <c r="AI16" i="1"/>
  <c r="AI13" i="1"/>
  <c r="AO13" i="1" s="1"/>
  <c r="AI8" i="1"/>
  <c r="AK8" i="1"/>
  <c r="AD21" i="1"/>
  <c r="AL21" i="1"/>
  <c r="AD28" i="1"/>
  <c r="AH24" i="1"/>
  <c r="AD16" i="1"/>
  <c r="AN16" i="1"/>
  <c r="AD29" i="1"/>
  <c r="AM29" i="1"/>
  <c r="AL23" i="1"/>
  <c r="AO23" i="1" s="1"/>
  <c r="AO22" i="1"/>
  <c r="AD30" i="1"/>
  <c r="AD26" i="1"/>
  <c r="AI26" i="1"/>
  <c r="AD25" i="1"/>
  <c r="AM25" i="1"/>
  <c r="AD27" i="1"/>
  <c r="AD19" i="1"/>
  <c r="AD17" i="1"/>
  <c r="AD15" i="1"/>
  <c r="AD10" i="1"/>
  <c r="AJ10" i="1"/>
  <c r="AD13" i="1"/>
  <c r="AD7" i="1"/>
  <c r="AD12" i="1"/>
  <c r="AL12" i="1"/>
  <c r="AD11" i="1"/>
  <c r="AJ11" i="1"/>
  <c r="AO11" i="1" s="1"/>
  <c r="AD14" i="1"/>
  <c r="AD8" i="1"/>
  <c r="AD9" i="1"/>
  <c r="BL31" i="1"/>
  <c r="AR3" i="1"/>
  <c r="BK31" i="1"/>
  <c r="BO31" i="1"/>
  <c r="BN31" i="1"/>
  <c r="BM31" i="1"/>
  <c r="AO3" i="1"/>
  <c r="AD3" i="1"/>
  <c r="P18" i="4" l="1"/>
  <c r="R17" i="4"/>
  <c r="S17" i="4" s="1"/>
  <c r="R6" i="4"/>
  <c r="S6" i="4" s="1"/>
  <c r="R7" i="4"/>
  <c r="S7" i="4" s="1"/>
  <c r="R4" i="4"/>
  <c r="S4" i="4" s="1"/>
  <c r="R14" i="4"/>
  <c r="S14" i="4" s="1"/>
  <c r="R10" i="4"/>
  <c r="S10" i="4" s="1"/>
  <c r="R9" i="4"/>
  <c r="S9" i="4" s="1"/>
  <c r="R3" i="4"/>
  <c r="S3" i="4" s="1"/>
  <c r="R11" i="4"/>
  <c r="S11" i="4" s="1"/>
  <c r="R12" i="4"/>
  <c r="S12" i="4" s="1"/>
  <c r="R15" i="4"/>
  <c r="S15" i="4" s="1"/>
  <c r="R2" i="4"/>
  <c r="S2" i="4" s="1"/>
  <c r="R16" i="4"/>
  <c r="S16" i="4" s="1"/>
  <c r="R8" i="4"/>
  <c r="S8" i="4" s="1"/>
  <c r="R13" i="4"/>
  <c r="S13" i="4" s="1"/>
  <c r="R5" i="4"/>
  <c r="S5" i="4" s="1"/>
  <c r="AO29" i="1"/>
  <c r="AO19" i="1"/>
  <c r="G6" i="2"/>
  <c r="J15" i="4" s="1"/>
  <c r="AO14" i="1"/>
  <c r="AO27" i="1"/>
  <c r="AO7" i="1"/>
  <c r="AO25" i="1"/>
  <c r="AO18" i="1"/>
  <c r="O16" i="4"/>
  <c r="E4" i="4"/>
  <c r="H4" i="4" s="1"/>
  <c r="E9" i="4"/>
  <c r="H9" i="4" s="1"/>
  <c r="J9" i="4"/>
  <c r="M9" i="4" s="1"/>
  <c r="N9" i="4" s="1"/>
  <c r="O8" i="4"/>
  <c r="O3" i="4"/>
  <c r="T3" i="4" s="1"/>
  <c r="E6" i="4"/>
  <c r="H6" i="4" s="1"/>
  <c r="J6" i="4"/>
  <c r="M6" i="4" s="1"/>
  <c r="N6" i="4" s="1"/>
  <c r="AT31" i="1"/>
  <c r="E6" i="2" s="1"/>
  <c r="AO28" i="1"/>
  <c r="BC31" i="1"/>
  <c r="F6" i="2" s="1"/>
  <c r="O14" i="4" s="1"/>
  <c r="T14" i="4" s="1"/>
  <c r="AO26" i="1"/>
  <c r="AS31" i="1"/>
  <c r="E5" i="2" s="1"/>
  <c r="E7" i="4" s="1"/>
  <c r="H7" i="4" s="1"/>
  <c r="BF31" i="1"/>
  <c r="F9" i="2" s="1"/>
  <c r="AO21" i="1"/>
  <c r="AQ31" i="1"/>
  <c r="E3" i="2" s="1"/>
  <c r="E5" i="4" s="1"/>
  <c r="H5" i="4" s="1"/>
  <c r="BE31" i="1"/>
  <c r="F8" i="2" s="1"/>
  <c r="O2" i="4" s="1"/>
  <c r="AO17" i="1"/>
  <c r="BD31" i="1"/>
  <c r="F7" i="2" s="1"/>
  <c r="O17" i="4" s="1"/>
  <c r="T17" i="4" s="1"/>
  <c r="AW31" i="1"/>
  <c r="E9" i="2" s="1"/>
  <c r="E8" i="4" s="1"/>
  <c r="AK31" i="1"/>
  <c r="D6" i="2" s="1"/>
  <c r="AO10" i="1"/>
  <c r="AO8" i="1"/>
  <c r="BH31" i="1"/>
  <c r="G2" i="2" s="1"/>
  <c r="J11" i="4" s="1"/>
  <c r="AO5" i="1"/>
  <c r="AO20" i="1"/>
  <c r="AZ31" i="1"/>
  <c r="F3" i="2" s="1"/>
  <c r="O5" i="4" s="1"/>
  <c r="T5" i="4" s="1"/>
  <c r="AO16" i="1"/>
  <c r="BA31" i="1"/>
  <c r="F4" i="2" s="1"/>
  <c r="O4" i="4" s="1"/>
  <c r="T4" i="4" s="1"/>
  <c r="BB31" i="1"/>
  <c r="F5" i="2" s="1"/>
  <c r="O7" i="4" s="1"/>
  <c r="T7" i="4" s="1"/>
  <c r="AO30" i="1"/>
  <c r="AR31" i="1"/>
  <c r="E4" i="2" s="1"/>
  <c r="AV31" i="1"/>
  <c r="E8" i="2" s="1"/>
  <c r="E13" i="4" s="1"/>
  <c r="AO24" i="1"/>
  <c r="AO12" i="1"/>
  <c r="AI31" i="1"/>
  <c r="D4" i="2" s="1"/>
  <c r="BI31" i="1"/>
  <c r="G3" i="2" s="1"/>
  <c r="J5" i="4" s="1"/>
  <c r="M5" i="4" s="1"/>
  <c r="N5" i="4" s="1"/>
  <c r="G4" i="2"/>
  <c r="J4" i="4" s="1"/>
  <c r="M4" i="4" s="1"/>
  <c r="N4" i="4" s="1"/>
  <c r="E7" i="2"/>
  <c r="E10" i="4" s="1"/>
  <c r="H10" i="4" s="1"/>
  <c r="AY31" i="1"/>
  <c r="F2" i="2" s="1"/>
  <c r="O11" i="4" s="1"/>
  <c r="G8" i="2"/>
  <c r="J13" i="4" s="1"/>
  <c r="G7" i="2"/>
  <c r="J17" i="4" s="1"/>
  <c r="M17" i="4" s="1"/>
  <c r="N17" i="4" s="1"/>
  <c r="G9" i="2"/>
  <c r="J8" i="4" s="1"/>
  <c r="G5" i="2"/>
  <c r="J7" i="4" s="1"/>
  <c r="M7" i="4" s="1"/>
  <c r="N7" i="4" s="1"/>
  <c r="AH31" i="1"/>
  <c r="D3" i="2" s="1"/>
  <c r="AN31" i="1"/>
  <c r="AL31" i="1"/>
  <c r="AJ31" i="1"/>
  <c r="AP31" i="1"/>
  <c r="AM31" i="1"/>
  <c r="AG31" i="1"/>
  <c r="T8" i="4" l="1"/>
  <c r="Q4" i="4"/>
  <c r="Q7" i="4"/>
  <c r="Q6" i="4"/>
  <c r="Q17" i="4"/>
  <c r="Q2" i="4"/>
  <c r="H8" i="4"/>
  <c r="T2" i="4"/>
  <c r="H13" i="4"/>
  <c r="I13" i="4" s="1"/>
  <c r="T16" i="4"/>
  <c r="M8" i="4"/>
  <c r="N8" i="4" s="1"/>
  <c r="M15" i="4"/>
  <c r="N15" i="4" s="1"/>
  <c r="M13" i="4"/>
  <c r="N13" i="4" s="1"/>
  <c r="T11" i="4"/>
  <c r="M11" i="4"/>
  <c r="N11" i="4" s="1"/>
  <c r="S18" i="4"/>
  <c r="Q8" i="4" s="1"/>
  <c r="I7" i="4"/>
  <c r="I4" i="4"/>
  <c r="I10" i="4"/>
  <c r="I8" i="4"/>
  <c r="I6" i="4"/>
  <c r="I9" i="4"/>
  <c r="I5" i="4"/>
  <c r="E15" i="4"/>
  <c r="H15" i="4" s="1"/>
  <c r="E14" i="4"/>
  <c r="H14" i="4" s="1"/>
  <c r="J16" i="4"/>
  <c r="M16" i="4" s="1"/>
  <c r="N16" i="4" s="1"/>
  <c r="O9" i="4"/>
  <c r="T9" i="4" s="1"/>
  <c r="O6" i="4"/>
  <c r="T6" i="4" s="1"/>
  <c r="E16" i="4"/>
  <c r="H16" i="4" s="1"/>
  <c r="J2" i="4"/>
  <c r="M2" i="4" s="1"/>
  <c r="O13" i="4"/>
  <c r="J12" i="4"/>
  <c r="M12" i="4" s="1"/>
  <c r="N12" i="4" s="1"/>
  <c r="E2" i="4"/>
  <c r="H2" i="4" s="1"/>
  <c r="O12" i="4"/>
  <c r="T12" i="4" s="1"/>
  <c r="J10" i="4"/>
  <c r="M10" i="4" s="1"/>
  <c r="N10" i="4" s="1"/>
  <c r="O15" i="4"/>
  <c r="T15" i="4" s="1"/>
  <c r="E17" i="4"/>
  <c r="H17" i="4" s="1"/>
  <c r="E3" i="4"/>
  <c r="H3" i="4" s="1"/>
  <c r="O10" i="4"/>
  <c r="T10" i="4" s="1"/>
  <c r="J3" i="4"/>
  <c r="M3" i="4" s="1"/>
  <c r="N3" i="4" s="1"/>
  <c r="J14" i="4"/>
  <c r="M14" i="4" s="1"/>
  <c r="N14" i="4" s="1"/>
  <c r="E2" i="2"/>
  <c r="C6" i="2"/>
  <c r="D7" i="2"/>
  <c r="C7" i="2" s="1"/>
  <c r="C4" i="2"/>
  <c r="D5" i="2"/>
  <c r="C5" i="2" s="1"/>
  <c r="C3" i="2"/>
  <c r="D2" i="2"/>
  <c r="C2" i="2" s="1"/>
  <c r="D8" i="2"/>
  <c r="C8" i="2" s="1"/>
  <c r="D9" i="2"/>
  <c r="C9" i="2" s="1"/>
  <c r="Q13" i="4" l="1"/>
  <c r="Q15" i="4"/>
  <c r="Q9" i="4"/>
  <c r="Q3" i="4"/>
  <c r="Q16" i="4"/>
  <c r="Q14" i="4"/>
  <c r="Q11" i="4"/>
  <c r="Q10" i="4"/>
  <c r="B10" i="4" s="1"/>
  <c r="Q12" i="4"/>
  <c r="Q5" i="4"/>
  <c r="Q18" i="4" s="1"/>
  <c r="M18" i="4"/>
  <c r="N18" i="4" s="1"/>
  <c r="N2" i="4"/>
  <c r="T13" i="4"/>
  <c r="T18" i="4" s="1"/>
  <c r="B8" i="4"/>
  <c r="B4" i="4"/>
  <c r="B6" i="4"/>
  <c r="B7" i="4"/>
  <c r="B9" i="4"/>
  <c r="I14" i="4"/>
  <c r="I15" i="4"/>
  <c r="B15" i="4" s="1"/>
  <c r="B14" i="4"/>
  <c r="I17" i="4"/>
  <c r="I3" i="4"/>
  <c r="I16" i="4"/>
  <c r="B16" i="4"/>
  <c r="I2" i="4"/>
  <c r="E11" i="4"/>
  <c r="H11" i="4" s="1"/>
  <c r="H18" i="4" s="1"/>
  <c r="I18" i="4" s="1"/>
  <c r="E12" i="4"/>
  <c r="H12" i="4" s="1"/>
  <c r="B5" i="4" l="1"/>
  <c r="B17" i="4"/>
  <c r="B13" i="4"/>
  <c r="B2" i="4"/>
  <c r="B3" i="4"/>
  <c r="I11" i="4"/>
  <c r="B11" i="4" s="1"/>
  <c r="I12" i="4"/>
  <c r="B12" i="4" s="1"/>
</calcChain>
</file>

<file path=xl/sharedStrings.xml><?xml version="1.0" encoding="utf-8"?>
<sst xmlns="http://schemas.openxmlformats.org/spreadsheetml/2006/main" count="2126" uniqueCount="224">
  <si>
    <t>MatchID</t>
  </si>
  <si>
    <t>Season</t>
  </si>
  <si>
    <t>H/V</t>
  </si>
  <si>
    <t>TeamID</t>
  </si>
  <si>
    <t>Team Captain</t>
  </si>
  <si>
    <t>TC All Stars</t>
  </si>
  <si>
    <t>TC-G1-AS</t>
  </si>
  <si>
    <t>TC-G2-AS</t>
  </si>
  <si>
    <t>TC-G3-AS</t>
  </si>
  <si>
    <t>TC-G4-AS</t>
  </si>
  <si>
    <t>TC-G5-AS</t>
  </si>
  <si>
    <t>Partner</t>
  </si>
  <si>
    <t>P-G1-AS</t>
  </si>
  <si>
    <t>P-G2-AS</t>
  </si>
  <si>
    <t>P-G3-AS</t>
  </si>
  <si>
    <t>P-G4-AS</t>
  </si>
  <si>
    <t>P-G5-AS</t>
  </si>
  <si>
    <t>Partner All Stars</t>
  </si>
  <si>
    <t>G1 501 Avg</t>
  </si>
  <si>
    <t>G1 501 Pts</t>
  </si>
  <si>
    <t>G1 Out Player</t>
  </si>
  <si>
    <t>Out Score</t>
  </si>
  <si>
    <t>G2 501 Avg</t>
  </si>
  <si>
    <t>G2 501 Pts</t>
  </si>
  <si>
    <t>G2 Out Player</t>
  </si>
  <si>
    <t>G2 Out Score</t>
  </si>
  <si>
    <t>501 Avg</t>
  </si>
  <si>
    <t>G3 Crick Avg</t>
  </si>
  <si>
    <t>G3 Crick Pts</t>
  </si>
  <si>
    <t>G3 Crick Close</t>
  </si>
  <si>
    <t>G4 Crick Avg</t>
  </si>
  <si>
    <t>G4 Crick Pts</t>
  </si>
  <si>
    <t>G4 Crick Close</t>
  </si>
  <si>
    <t>Crick Avg</t>
  </si>
  <si>
    <t>301 Avg</t>
  </si>
  <si>
    <t>G5 In Player</t>
  </si>
  <si>
    <t>G5 In Score</t>
  </si>
  <si>
    <t>G5 Out Player</t>
  </si>
  <si>
    <t>G5 Out Score</t>
  </si>
  <si>
    <t>301 Pts</t>
  </si>
  <si>
    <t>Tot Points</t>
  </si>
  <si>
    <t>1-1</t>
  </si>
  <si>
    <t>2024 Winter</t>
  </si>
  <si>
    <t>H</t>
  </si>
  <si>
    <t>Daniel/David</t>
  </si>
  <si>
    <t>V</t>
  </si>
  <si>
    <t>Brian/Olver</t>
  </si>
  <si>
    <t>1-2</t>
  </si>
  <si>
    <t>Tayven/Tony</t>
  </si>
  <si>
    <t>Mark/Neil</t>
  </si>
  <si>
    <t>1-3</t>
  </si>
  <si>
    <t>Clarence/Mike H</t>
  </si>
  <si>
    <t>Todd/Mike C</t>
  </si>
  <si>
    <t>1-4</t>
  </si>
  <si>
    <t>Kevin/Paul</t>
  </si>
  <si>
    <t>Kevin</t>
  </si>
  <si>
    <t>Jason/Mike A</t>
  </si>
  <si>
    <t>Mike A</t>
  </si>
  <si>
    <t>2-1</t>
  </si>
  <si>
    <t>2-2</t>
  </si>
  <si>
    <t>2-3</t>
  </si>
  <si>
    <t>2-4</t>
  </si>
  <si>
    <t>3-1</t>
  </si>
  <si>
    <t>3-2</t>
  </si>
  <si>
    <t>3-3</t>
  </si>
  <si>
    <t>3-4</t>
  </si>
  <si>
    <t>4-1</t>
  </si>
  <si>
    <t>4-2</t>
  </si>
  <si>
    <t>4-3</t>
  </si>
  <si>
    <t>4-4</t>
  </si>
  <si>
    <t>5-1</t>
  </si>
  <si>
    <t>5-2</t>
  </si>
  <si>
    <t>5-3</t>
  </si>
  <si>
    <t>5-4</t>
  </si>
  <si>
    <t>6-1</t>
  </si>
  <si>
    <t>6-2</t>
  </si>
  <si>
    <t>6-3</t>
  </si>
  <si>
    <t>6-4</t>
  </si>
  <si>
    <t>7-1</t>
  </si>
  <si>
    <t>7-2</t>
  </si>
  <si>
    <t>7-3</t>
  </si>
  <si>
    <t>7-4</t>
  </si>
  <si>
    <t>2024 Summer</t>
  </si>
  <si>
    <t>Mark/Mike C</t>
  </si>
  <si>
    <t>Mike C</t>
  </si>
  <si>
    <t>Tayven/Clarence</t>
  </si>
  <si>
    <t>Tayven</t>
  </si>
  <si>
    <t>Clarence</t>
  </si>
  <si>
    <t>Daniel/Matt</t>
  </si>
  <si>
    <t>Daniel</t>
  </si>
  <si>
    <t>Todd/Mike H</t>
  </si>
  <si>
    <t>Mike H</t>
  </si>
  <si>
    <t>Todd</t>
  </si>
  <si>
    <t>Mike A/Paul</t>
  </si>
  <si>
    <t>Paul</t>
  </si>
  <si>
    <t>Brian/Neil</t>
  </si>
  <si>
    <t>Brian</t>
  </si>
  <si>
    <t>Neil</t>
  </si>
  <si>
    <t>Jason/Olver</t>
  </si>
  <si>
    <t>Jason</t>
  </si>
  <si>
    <t>Kevin/Tony</t>
  </si>
  <si>
    <t>Tony</t>
  </si>
  <si>
    <t>Mark</t>
  </si>
  <si>
    <t>Olver</t>
  </si>
  <si>
    <t>Matt</t>
  </si>
  <si>
    <t>MIke A</t>
  </si>
  <si>
    <t>Kvein</t>
  </si>
  <si>
    <t>2025 Winter</t>
  </si>
  <si>
    <t>Brian/Tony</t>
  </si>
  <si>
    <t>Todd/Mark</t>
  </si>
  <si>
    <t>Neil/Clarence</t>
  </si>
  <si>
    <t>Kevin/Art</t>
  </si>
  <si>
    <t>Mike H/Paul</t>
  </si>
  <si>
    <t>David</t>
  </si>
  <si>
    <t>Tayven/Jeremy</t>
  </si>
  <si>
    <t>Mike A/Mike C</t>
  </si>
  <si>
    <t>Jeremy</t>
  </si>
  <si>
    <t>Art</t>
  </si>
  <si>
    <t>2025 Summer</t>
  </si>
  <si>
    <t>Kevin/Jeremy</t>
  </si>
  <si>
    <t>Mike A/Tristan</t>
  </si>
  <si>
    <t>Tristan</t>
  </si>
  <si>
    <t>Mark/Jason</t>
  </si>
  <si>
    <t>Brian/David/Troy</t>
  </si>
  <si>
    <t>Clarence/Tony</t>
  </si>
  <si>
    <t>Mike C/Paul</t>
  </si>
  <si>
    <t>Daniel/Art</t>
  </si>
  <si>
    <t>Todd/Neil</t>
  </si>
  <si>
    <t>Tayven/Mike H</t>
  </si>
  <si>
    <t>Troy</t>
  </si>
  <si>
    <t>8-1</t>
  </si>
  <si>
    <t>8-2</t>
  </si>
  <si>
    <t>8-3</t>
  </si>
  <si>
    <t>8-4</t>
  </si>
  <si>
    <t>9-1</t>
  </si>
  <si>
    <t>9-2</t>
  </si>
  <si>
    <t>9-3</t>
  </si>
  <si>
    <t>9-4</t>
  </si>
  <si>
    <t>2026 Winter</t>
  </si>
  <si>
    <t>Mike C/Tristan</t>
  </si>
  <si>
    <t>Todd/Tayven</t>
  </si>
  <si>
    <t>Kevin/Mike H</t>
  </si>
  <si>
    <t>Clarence/Troy</t>
  </si>
  <si>
    <t>Daniel/Mark</t>
  </si>
  <si>
    <t>Mike A/Jason</t>
  </si>
  <si>
    <t>Brian/David</t>
  </si>
  <si>
    <t>Paul/Neil</t>
  </si>
  <si>
    <t>Games</t>
  </si>
  <si>
    <t>Points</t>
  </si>
  <si>
    <t>501 Average</t>
  </si>
  <si>
    <t>Cricket Average</t>
  </si>
  <si>
    <t>301  Average</t>
  </si>
  <si>
    <t>Played</t>
  </si>
  <si>
    <t>H1 501 Avg</t>
  </si>
  <si>
    <t>V1 501 Avg</t>
  </si>
  <si>
    <t>H1 501 Pts</t>
  </si>
  <si>
    <t>V1 501 Pts</t>
  </si>
  <si>
    <t>H2 501 Avg</t>
  </si>
  <si>
    <t>V2 501 Avg</t>
  </si>
  <si>
    <t>H2 501 Pts</t>
  </si>
  <si>
    <t>V2 501 Pts</t>
  </si>
  <si>
    <t>H 501 Avg</t>
  </si>
  <si>
    <t>V 501 Avg</t>
  </si>
  <si>
    <t>H1 Crick Avg</t>
  </si>
  <si>
    <t>V1 Crick Avg</t>
  </si>
  <si>
    <t>H1 Crick Pts</t>
  </si>
  <si>
    <t>V1 Crick Pts</t>
  </si>
  <si>
    <t>H2 Crick Avg</t>
  </si>
  <si>
    <t>V2 Crick Avg</t>
  </si>
  <si>
    <t>H2 Crick Pts</t>
  </si>
  <si>
    <t>V2 Crick Pts</t>
  </si>
  <si>
    <t>H Crick Avg</t>
  </si>
  <si>
    <t>V Crick Avg</t>
  </si>
  <si>
    <t>H 301 Avg</t>
  </si>
  <si>
    <t>V 301 Avg</t>
  </si>
  <si>
    <t>H 301 Pts</t>
  </si>
  <si>
    <t>V 301 Pts</t>
  </si>
  <si>
    <t>H Tot Points</t>
  </si>
  <si>
    <t>V Tot Points</t>
  </si>
  <si>
    <t>Point Check</t>
  </si>
  <si>
    <t>CHECK</t>
  </si>
  <si>
    <t>TOTALS</t>
  </si>
  <si>
    <t>Team Name</t>
  </si>
  <si>
    <t>Points Per Week</t>
  </si>
  <si>
    <t>*25</t>
  </si>
  <si>
    <t>*1.25</t>
  </si>
  <si>
    <t>All Stars</t>
  </si>
  <si>
    <t>Player</t>
  </si>
  <si>
    <t>Week 1</t>
  </si>
  <si>
    <t>Week 2</t>
  </si>
  <si>
    <t>Week 3</t>
  </si>
  <si>
    <t>Week 4</t>
  </si>
  <si>
    <t>Week 5</t>
  </si>
  <si>
    <t>Week 6</t>
  </si>
  <si>
    <t>Week 7</t>
  </si>
  <si>
    <t>Total</t>
  </si>
  <si>
    <t>High Out</t>
  </si>
  <si>
    <t>High In</t>
  </si>
  <si>
    <t>League Average</t>
  </si>
  <si>
    <t>Rating</t>
  </si>
  <si>
    <t>Team</t>
  </si>
  <si>
    <t>Team 501</t>
  </si>
  <si>
    <t>Team Out</t>
  </si>
  <si>
    <t>Player Out %</t>
  </si>
  <si>
    <t>Player 501</t>
  </si>
  <si>
    <t>Player 501 Pts</t>
  </si>
  <si>
    <t>Team 301</t>
  </si>
  <si>
    <t>Player Out</t>
  </si>
  <si>
    <t>Player 301</t>
  </si>
  <si>
    <t>Player 301 Pts</t>
  </si>
  <si>
    <t>Team Cricket</t>
  </si>
  <si>
    <t>Team allstars</t>
  </si>
  <si>
    <t>Player Allstar %</t>
  </si>
  <si>
    <t>Player Allstar pts</t>
  </si>
  <si>
    <t>Player Cricket Pts</t>
  </si>
  <si>
    <t>Diff Out</t>
  </si>
  <si>
    <t>Out pts</t>
  </si>
  <si>
    <t>Diff In</t>
  </si>
  <si>
    <t>In Pts</t>
  </si>
  <si>
    <t>501 weight</t>
  </si>
  <si>
    <t>301 weight</t>
  </si>
  <si>
    <t>Cricket weight</t>
  </si>
  <si>
    <t>In weigth</t>
  </si>
  <si>
    <t>Out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</si>
</sst>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scheme val="minor"/>
    </font>
    <font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4" borderId="0" xfId="0" applyFill="1"/>
    <xf numFmtId="0" fontId="0" fillId="3" borderId="1" xfId="0" applyFill="1" applyBorder="1"/>
    <xf numFmtId="0" fontId="0" fillId="5" borderId="0" xfId="0" applyFill="1"/>
    <xf numFmtId="0" fontId="0" fillId="0" borderId="3" xfId="0" applyBorder="1"/>
    <xf numFmtId="0" fontId="0" fillId="5" borderId="3" xfId="0" applyFill="1" applyBorder="1"/>
    <xf numFmtId="0" fontId="0" fillId="5" borderId="4" xfId="0" applyFill="1" applyBorder="1"/>
    <xf numFmtId="0" fontId="0" fillId="5" borderId="6" xfId="0" applyFill="1" applyBorder="1"/>
    <xf numFmtId="0" fontId="0" fillId="5" borderId="1" xfId="0" applyFill="1" applyBorder="1"/>
    <xf numFmtId="0" fontId="0" fillId="5" borderId="8" xfId="0" applyFill="1" applyBorder="1"/>
    <xf numFmtId="164" fontId="0" fillId="2" borderId="0" xfId="0" applyNumberFormat="1" applyFill="1"/>
    <xf numFmtId="0" fontId="0" fillId="6" borderId="0" xfId="0" applyFill="1"/>
    <xf numFmtId="0" fontId="0" fillId="6" borderId="2" xfId="0" applyFill="1" applyBorder="1"/>
    <xf numFmtId="0" fontId="0" fillId="6" borderId="3" xfId="0" applyFill="1" applyBorder="1"/>
    <xf numFmtId="0" fontId="0" fillId="6" borderId="5" xfId="0" applyFill="1" applyBorder="1"/>
    <xf numFmtId="0" fontId="0" fillId="6" borderId="7" xfId="0" applyFill="1" applyBorder="1"/>
    <xf numFmtId="0" fontId="0" fillId="6" borderId="1" xfId="0" applyFill="1" applyBorder="1"/>
    <xf numFmtId="2" fontId="0" fillId="2" borderId="0" xfId="0" applyNumberFormat="1" applyFill="1"/>
    <xf numFmtId="0" fontId="0" fillId="7" borderId="3" xfId="0" applyFill="1" applyBorder="1"/>
    <xf numFmtId="0" fontId="0" fillId="7" borderId="0" xfId="0" applyFill="1"/>
    <xf numFmtId="0" fontId="0" fillId="0" borderId="9" xfId="0" applyBorder="1"/>
    <xf numFmtId="2" fontId="0" fillId="0" borderId="0" xfId="0" applyNumberFormat="1"/>
    <xf numFmtId="0" fontId="2" fillId="0" borderId="0" xfId="0" applyFont="1"/>
    <xf numFmtId="0" fontId="2" fillId="8" borderId="0" xfId="0" applyFont="1" applyFill="1"/>
    <xf numFmtId="0" fontId="2" fillId="7" borderId="0" xfId="0" applyFont="1" applyFill="1"/>
    <xf numFmtId="16" fontId="2" fillId="0" borderId="0" xfId="0" quotePrefix="1" applyNumberFormat="1" applyFont="1"/>
    <xf numFmtId="0" fontId="2" fillId="0" borderId="0" xfId="0" quotePrefix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43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A24F1A-5F60-4498-AFAB-1A2A1C3A4CE1}" name="Table1" displayName="Table1" ref="A1:AO297" totalsRowShown="0" headerRowDxfId="42" dataDxfId="41">
  <autoFilter ref="A1:AO297" xr:uid="{21A24F1A-5F60-4498-AFAB-1A2A1C3A4CE1}">
    <filterColumn colId="1">
      <filters>
        <filter val="2026 Winter"/>
      </filters>
    </filterColumn>
  </autoFilter>
  <sortState xmlns:xlrd2="http://schemas.microsoft.com/office/spreadsheetml/2017/richdata2" ref="A2:AO113">
    <sortCondition ref="A2:A113"/>
    <sortCondition ref="C2:C113"/>
  </sortState>
  <tableColumns count="41">
    <tableColumn id="1" xr3:uid="{760AB4A0-FB71-4CF1-88E5-0DD557F8D329}" name="MatchID" dataDxfId="40"/>
    <tableColumn id="29" xr3:uid="{679A9820-3C87-459D-9202-08BF7EFC814A}" name="Season" dataDxfId="39"/>
    <tableColumn id="3" xr3:uid="{2095A638-0130-44B2-B65E-0FE37B4D3476}" name="H/V" dataDxfId="38"/>
    <tableColumn id="2" xr3:uid="{5A5E6599-9B1F-4002-97D9-3B76CCEC3202}" name="TeamID" dataDxfId="37"/>
    <tableColumn id="21" xr3:uid="{139CB678-13C6-4350-BA1F-DF880136A956}" name="Team Captain" dataDxfId="36"/>
    <tableColumn id="23" xr3:uid="{92B8A393-12B2-4C89-B174-3183BE8BBC3E}" name="TC All Stars" dataDxfId="35"/>
    <tableColumn id="30" xr3:uid="{740C00FF-38C6-45A0-B00D-F822B5950563}" name="TC-G1-AS" dataDxfId="34"/>
    <tableColumn id="31" xr3:uid="{A411E0AC-4276-4646-A2D7-759B87F668E5}" name="TC-G2-AS" dataDxfId="33"/>
    <tableColumn id="32" xr3:uid="{8D252ED2-305A-460C-8C4D-551B2FEABB3C}" name="TC-G3-AS" dataDxfId="32"/>
    <tableColumn id="33" xr3:uid="{116A53B9-C87D-45E4-98D1-5F46C22D3B54}" name="TC-G4-AS" dataDxfId="31"/>
    <tableColumn id="34" xr3:uid="{50FCCF95-F974-4DB9-8682-99E6DBA40C2D}" name="TC-G5-AS" dataDxfId="30"/>
    <tableColumn id="22" xr3:uid="{A0895803-3E35-4D20-A674-CD341DEFD1B5}" name="Partner" dataDxfId="29"/>
    <tableColumn id="35" xr3:uid="{EA1D2914-0152-4BA4-A57C-A7A81E3D5882}" name="P-G1-AS" dataDxfId="28"/>
    <tableColumn id="36" xr3:uid="{D9BC5E74-C25E-466C-B5EA-AB48C3512926}" name="P-G2-AS" dataDxfId="27"/>
    <tableColumn id="37" xr3:uid="{36C0755E-7EC0-441D-B12E-75DDECB0F446}" name="P-G3-AS" dataDxfId="26"/>
    <tableColumn id="38" xr3:uid="{B13A5025-35CD-441D-B1B0-44FF91C23E03}" name="P-G4-AS" dataDxfId="25"/>
    <tableColumn id="39" xr3:uid="{99EA41F2-7B74-4671-BC1E-22790CB69656}" name="P-G5-AS" dataDxfId="24"/>
    <tableColumn id="24" xr3:uid="{E1987656-4085-4C69-AC3A-D3004CF64ED5}" name="Partner All Stars" dataDxfId="23"/>
    <tableColumn id="4" xr3:uid="{03A64DE9-C5AD-48FB-B27A-41194604FA0A}" name="G1 501 Avg" dataDxfId="22"/>
    <tableColumn id="5" xr3:uid="{EAB992D9-438A-4D65-84F9-CCDEA777B688}" name="G1 501 Pts" dataDxfId="21"/>
    <tableColumn id="17" xr3:uid="{6B18AE75-6D6F-4F80-B9D3-7FF8D4097FB2}" name="G1 Out Player" dataDxfId="20"/>
    <tableColumn id="18" xr3:uid="{F84457A6-610B-40E4-AAED-DA9D3FFE9042}" name="Out Score" dataDxfId="19"/>
    <tableColumn id="6" xr3:uid="{2CFFFC0A-8E54-4FBD-BD4E-67A46D671E55}" name="G2 501 Avg" dataDxfId="18"/>
    <tableColumn id="7" xr3:uid="{FC67508F-0EB0-4279-891A-FB3737D46C91}" name="G2 501 Pts" dataDxfId="17"/>
    <tableColumn id="19" xr3:uid="{822DB854-CB99-4D3E-AD5E-8FC0D716AE09}" name="G2 Out Player" dataDxfId="16"/>
    <tableColumn id="20" xr3:uid="{CD008D2F-93AC-40DB-B292-B78094A4BAE9}" name="G2 Out Score" dataDxfId="15"/>
    <tableColumn id="8" xr3:uid="{7DA6789F-8991-41B8-86D3-1D5CB6F9D6DB}" name="501 Avg" dataDxfId="14">
      <calculatedColumnFormula>(S2+W2)/2</calculatedColumnFormula>
    </tableColumn>
    <tableColumn id="9" xr3:uid="{9C10DB28-4DE7-43F6-87D3-2B0CDC1CCE18}" name="G3 Crick Avg" dataDxfId="13"/>
    <tableColumn id="10" xr3:uid="{94591156-3B12-4918-950A-2F3A478404E2}" name="G3 Crick Pts" dataDxfId="12"/>
    <tableColumn id="40" xr3:uid="{B5498AE8-B2C5-4317-B36D-5B1304A9B142}" name="G3 Crick Close" dataDxfId="11"/>
    <tableColumn id="11" xr3:uid="{0D5BDCF2-F498-44D6-B814-86C8B6D3BB12}" name="G4 Crick Avg" dataDxfId="10"/>
    <tableColumn id="12" xr3:uid="{0C00CE09-2647-4F12-9F37-278DE7FC50C5}" name="G4 Crick Pts" dataDxfId="9"/>
    <tableColumn id="41" xr3:uid="{F0200053-A202-4BAD-967A-2A8765E96910}" name="G4 Crick Close" dataDxfId="8"/>
    <tableColumn id="13" xr3:uid="{85996851-B2A9-49E9-9647-EF71EB0153A9}" name="Crick Avg" dataDxfId="7">
      <calculatedColumnFormula>(AB2+AE2)/2</calculatedColumnFormula>
    </tableColumn>
    <tableColumn id="14" xr3:uid="{5AFFDB9E-D434-4502-A0ED-BF08D6A5BB68}" name="301 Avg" dataDxfId="6"/>
    <tableColumn id="25" xr3:uid="{A8E45CAA-0660-47B3-AB76-1F4905D99D54}" name="G5 In Player" dataDxfId="5"/>
    <tableColumn id="26" xr3:uid="{A80DC4D7-4D39-4057-8217-F763753476AF}" name="G5 In Score" dataDxfId="4"/>
    <tableColumn id="27" xr3:uid="{9A9CD68B-C754-4E90-9452-27C6F0CDC32A}" name="G5 Out Player" dataDxfId="3"/>
    <tableColumn id="28" xr3:uid="{E7B8689A-95AC-4D32-B81F-B4794B4AD429}" name="G5 Out Score" dataDxfId="2"/>
    <tableColumn id="15" xr3:uid="{332847BD-4CBA-4375-AA35-B6B14CB22A7E}" name="301 Pts" dataDxfId="1"/>
    <tableColumn id="16" xr3:uid="{50FF4F23-2ED5-49F9-A95E-BF990F0E9C8D}" name="Tot Points" dataDxfId="0">
      <calculatedColumnFormula>T2+AC2+AN2+AF2+X2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715F-2DC9-4EE7-962C-31BB82370F7B}">
  <dimension ref="A1:AO297"/>
  <sheetViews>
    <sheetView tabSelected="1" workbookViewId="0">
      <pane xSplit="4" topLeftCell="G274" activePane="topRight" state="frozen"/>
      <selection pane="topRight" activeCell="R293" sqref="R293"/>
    </sheetView>
  </sheetViews>
  <sheetFormatPr defaultColWidth="8.7109375" defaultRowHeight="15" customHeight="1" outlineLevelCol="1"/>
  <cols>
    <col min="1" max="1" width="10.28515625" style="25" bestFit="1" customWidth="1"/>
    <col min="2" max="2" width="18.5703125" style="25" customWidth="1"/>
    <col min="3" max="3" width="6.42578125" style="25" bestFit="1" customWidth="1"/>
    <col min="4" max="4" width="19.42578125" style="25" customWidth="1"/>
    <col min="5" max="5" width="14.5703125" style="25" bestFit="1" customWidth="1"/>
    <col min="6" max="6" width="12.42578125" style="26" bestFit="1" customWidth="1"/>
    <col min="7" max="11" width="12.42578125" style="25" customWidth="1" outlineLevel="1"/>
    <col min="12" max="12" width="9.42578125" style="25" bestFit="1" customWidth="1"/>
    <col min="13" max="17" width="16.7109375" style="25" customWidth="1" outlineLevel="1"/>
    <col min="18" max="18" width="16.7109375" style="26" bestFit="1" customWidth="1"/>
    <col min="19" max="19" width="12.28515625" customWidth="1" outlineLevel="1" collapsed="1"/>
    <col min="20" max="20" width="12.28515625" style="25" customWidth="1" outlineLevel="1"/>
    <col min="21" max="21" width="11.85546875" style="25" customWidth="1" outlineLevel="1"/>
    <col min="22" max="22" width="14.5703125" style="25" customWidth="1" outlineLevel="1"/>
    <col min="23" max="23" width="11.28515625" style="25" customWidth="1" outlineLevel="1"/>
    <col min="24" max="24" width="12.28515625" style="25" customWidth="1" outlineLevel="1"/>
    <col min="25" max="25" width="11.85546875" style="25" customWidth="1" outlineLevel="1"/>
    <col min="26" max="26" width="14.5703125" style="25" customWidth="1" outlineLevel="1"/>
    <col min="27" max="27" width="14" style="26" bestFit="1" customWidth="1"/>
    <col min="28" max="28" width="9.5703125" style="25" customWidth="1" outlineLevel="1"/>
    <col min="29" max="30" width="13.42578125" style="25" customWidth="1" outlineLevel="1"/>
    <col min="31" max="31" width="13" style="25" customWidth="1" outlineLevel="1"/>
    <col min="32" max="33" width="13.42578125" style="25" customWidth="1" outlineLevel="1"/>
    <col min="34" max="34" width="13" style="26" bestFit="1" customWidth="1"/>
    <col min="35" max="35" width="10.5703125" style="25" customWidth="1" outlineLevel="1"/>
    <col min="36" max="36" width="9.5703125" style="25" customWidth="1" outlineLevel="1"/>
    <col min="37" max="37" width="13.140625" style="25" customWidth="1" outlineLevel="1"/>
    <col min="38" max="38" width="12.42578125" style="25" customWidth="1" outlineLevel="1"/>
    <col min="39" max="39" width="14.5703125" style="25" customWidth="1" outlineLevel="1"/>
    <col min="40" max="40" width="14" style="25" customWidth="1" outlineLevel="1"/>
    <col min="41" max="41" width="9.140625" style="26" bestFit="1" customWidth="1"/>
    <col min="42" max="42" width="11.5703125" style="25" bestFit="1" customWidth="1"/>
    <col min="43" max="16384" width="8.7109375" style="25"/>
  </cols>
  <sheetData>
    <row r="1" spans="1:4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6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26" t="s">
        <v>26</v>
      </c>
      <c r="AB1" s="25" t="s">
        <v>27</v>
      </c>
      <c r="AC1" s="25" t="s">
        <v>28</v>
      </c>
      <c r="AD1" s="25" t="s">
        <v>29</v>
      </c>
      <c r="AE1" s="25" t="s">
        <v>30</v>
      </c>
      <c r="AF1" s="25" t="s">
        <v>31</v>
      </c>
      <c r="AG1" s="25" t="s">
        <v>32</v>
      </c>
      <c r="AH1" s="26" t="s">
        <v>33</v>
      </c>
      <c r="AI1" s="25" t="s">
        <v>34</v>
      </c>
      <c r="AJ1" s="25" t="s">
        <v>35</v>
      </c>
      <c r="AK1" s="25" t="s">
        <v>36</v>
      </c>
      <c r="AL1" s="25" t="s">
        <v>37</v>
      </c>
      <c r="AM1" s="25" t="s">
        <v>38</v>
      </c>
      <c r="AN1" s="25" t="s">
        <v>39</v>
      </c>
      <c r="AO1" s="26" t="s">
        <v>40</v>
      </c>
    </row>
    <row r="2" spans="1:41" hidden="1">
      <c r="A2" s="25" t="s">
        <v>41</v>
      </c>
      <c r="B2" s="25" t="s">
        <v>42</v>
      </c>
      <c r="C2" s="25" t="s">
        <v>43</v>
      </c>
      <c r="D2" s="25" t="s">
        <v>44</v>
      </c>
      <c r="E2" s="25" t="str">
        <f>LEFT(Table1[[#This Row],[TeamID]],FIND("/",Table1[[#This Row],[TeamID]])-1)</f>
        <v>Daniel</v>
      </c>
      <c r="F2" s="26">
        <v>2</v>
      </c>
      <c r="L2" s="25" t="str">
        <f>SUBSTITUTE(Table1[[#This Row],[TeamID]],Table1[[#This Row],[Team Captain]]&amp;"/","")</f>
        <v>David</v>
      </c>
      <c r="R2" s="26">
        <v>1</v>
      </c>
      <c r="S2" s="25">
        <v>35.4</v>
      </c>
      <c r="T2" s="25">
        <v>0</v>
      </c>
      <c r="W2" s="25">
        <v>30.8</v>
      </c>
      <c r="X2" s="25">
        <v>0</v>
      </c>
      <c r="AA2" s="26">
        <f t="shared" ref="AA2:AA33" si="0">(S2+W2)/2</f>
        <v>33.1</v>
      </c>
      <c r="AB2" s="25">
        <v>1.33</v>
      </c>
      <c r="AC2" s="25">
        <v>0</v>
      </c>
      <c r="AE2" s="25">
        <v>1.37</v>
      </c>
      <c r="AF2" s="25">
        <v>1</v>
      </c>
      <c r="AH2" s="26">
        <f t="shared" ref="AH2:AH33" si="1">(AB2+AE2)/2</f>
        <v>1.35</v>
      </c>
      <c r="AI2" s="25">
        <v>23.76</v>
      </c>
      <c r="AN2" s="25">
        <v>1</v>
      </c>
      <c r="AO2" s="26">
        <f t="shared" ref="AO2:AO33" si="2">T2+AC2+AN2+AF2+X2</f>
        <v>2</v>
      </c>
    </row>
    <row r="3" spans="1:41" hidden="1">
      <c r="A3" s="25" t="s">
        <v>41</v>
      </c>
      <c r="B3" s="25" t="s">
        <v>42</v>
      </c>
      <c r="C3" s="25" t="s">
        <v>45</v>
      </c>
      <c r="D3" s="25" t="s">
        <v>46</v>
      </c>
      <c r="E3" s="25" t="str">
        <f>LEFT(Table1[[#This Row],[TeamID]],FIND("/",Table1[[#This Row],[TeamID]])-1)</f>
        <v>Brian</v>
      </c>
      <c r="F3" s="26">
        <v>1</v>
      </c>
      <c r="L3" s="25" t="str">
        <f>SUBSTITUTE(Table1[[#This Row],[TeamID]],Table1[[#This Row],[Team Captain]]&amp;"/","")</f>
        <v>Olver</v>
      </c>
      <c r="R3" s="26">
        <v>1</v>
      </c>
      <c r="S3" s="25">
        <v>35.700000000000003</v>
      </c>
      <c r="T3" s="25">
        <v>1</v>
      </c>
      <c r="W3" s="25">
        <v>32.700000000000003</v>
      </c>
      <c r="X3" s="25">
        <v>1</v>
      </c>
      <c r="AA3" s="26">
        <f t="shared" si="0"/>
        <v>34.200000000000003</v>
      </c>
      <c r="AB3" s="25">
        <v>1.58</v>
      </c>
      <c r="AC3" s="25">
        <v>1</v>
      </c>
      <c r="AE3" s="25">
        <v>1.05</v>
      </c>
      <c r="AF3" s="25">
        <v>0</v>
      </c>
      <c r="AH3" s="26">
        <f t="shared" si="1"/>
        <v>1.3149999999999999</v>
      </c>
      <c r="AI3" s="25">
        <v>23.42</v>
      </c>
      <c r="AN3" s="25">
        <v>0</v>
      </c>
      <c r="AO3" s="26">
        <f t="shared" si="2"/>
        <v>3</v>
      </c>
    </row>
    <row r="4" spans="1:41" hidden="1">
      <c r="A4" s="25" t="s">
        <v>47</v>
      </c>
      <c r="B4" s="25" t="s">
        <v>42</v>
      </c>
      <c r="C4" s="25" t="s">
        <v>43</v>
      </c>
      <c r="D4" s="25" t="s">
        <v>48</v>
      </c>
      <c r="E4" s="25" t="str">
        <f>LEFT(Table1[[#This Row],[TeamID]],FIND("/",Table1[[#This Row],[TeamID]])-1)</f>
        <v>Tayven</v>
      </c>
      <c r="F4" s="26">
        <v>0</v>
      </c>
      <c r="L4" s="25" t="str">
        <f>SUBSTITUTE(Table1[[#This Row],[TeamID]],Table1[[#This Row],[Team Captain]]&amp;"/","")</f>
        <v>Tony</v>
      </c>
      <c r="R4" s="26">
        <v>0</v>
      </c>
      <c r="S4" s="25">
        <v>36.08</v>
      </c>
      <c r="T4" s="25">
        <v>0</v>
      </c>
      <c r="W4" s="25">
        <v>35.46</v>
      </c>
      <c r="X4" s="25">
        <v>0</v>
      </c>
      <c r="AA4" s="26">
        <f t="shared" si="0"/>
        <v>35.769999999999996</v>
      </c>
      <c r="AB4" s="25">
        <v>0.96</v>
      </c>
      <c r="AC4" s="25">
        <v>0</v>
      </c>
      <c r="AE4" s="25">
        <v>1.04</v>
      </c>
      <c r="AF4" s="25">
        <v>1</v>
      </c>
      <c r="AH4" s="26">
        <f t="shared" si="1"/>
        <v>1</v>
      </c>
      <c r="AI4" s="25">
        <v>22.68</v>
      </c>
      <c r="AN4" s="25">
        <v>0</v>
      </c>
      <c r="AO4" s="26">
        <f t="shared" si="2"/>
        <v>1</v>
      </c>
    </row>
    <row r="5" spans="1:41" hidden="1">
      <c r="A5" s="25" t="s">
        <v>47</v>
      </c>
      <c r="B5" s="25" t="s">
        <v>42</v>
      </c>
      <c r="C5" s="25" t="s">
        <v>45</v>
      </c>
      <c r="D5" s="25" t="s">
        <v>49</v>
      </c>
      <c r="E5" s="25" t="str">
        <f>LEFT(Table1[[#This Row],[TeamID]],FIND("/",Table1[[#This Row],[TeamID]])-1)</f>
        <v>Mark</v>
      </c>
      <c r="F5" s="26">
        <v>3</v>
      </c>
      <c r="L5" s="25" t="str">
        <f>SUBSTITUTE(Table1[[#This Row],[TeamID]],Table1[[#This Row],[Team Captain]]&amp;"/","")</f>
        <v>Neil</v>
      </c>
      <c r="R5" s="26">
        <v>1</v>
      </c>
      <c r="S5" s="25">
        <v>39.549999999999997</v>
      </c>
      <c r="T5" s="25">
        <v>1</v>
      </c>
      <c r="W5" s="25">
        <v>36.659999999999997</v>
      </c>
      <c r="X5" s="25">
        <v>1</v>
      </c>
      <c r="AA5" s="26">
        <f t="shared" si="0"/>
        <v>38.104999999999997</v>
      </c>
      <c r="AB5" s="25">
        <v>1.0900000000000001</v>
      </c>
      <c r="AC5" s="25">
        <v>1</v>
      </c>
      <c r="AE5" s="25">
        <v>1.04</v>
      </c>
      <c r="AF5" s="25">
        <v>0</v>
      </c>
      <c r="AH5" s="26">
        <f t="shared" si="1"/>
        <v>1.0649999999999999</v>
      </c>
      <c r="AI5" s="25">
        <v>27.76</v>
      </c>
      <c r="AN5" s="25">
        <v>1</v>
      </c>
      <c r="AO5" s="26">
        <f t="shared" si="2"/>
        <v>4</v>
      </c>
    </row>
    <row r="6" spans="1:41" hidden="1">
      <c r="A6" s="25" t="s">
        <v>50</v>
      </c>
      <c r="B6" s="25" t="s">
        <v>42</v>
      </c>
      <c r="C6" s="25" t="s">
        <v>43</v>
      </c>
      <c r="D6" s="25" t="s">
        <v>51</v>
      </c>
      <c r="E6" s="25" t="str">
        <f>LEFT(Table1[[#This Row],[TeamID]],FIND("/",Table1[[#This Row],[TeamID]])-1)</f>
        <v>Clarence</v>
      </c>
      <c r="F6" s="26">
        <v>0</v>
      </c>
      <c r="L6" s="25" t="str">
        <f>SUBSTITUTE(Table1[[#This Row],[TeamID]],Table1[[#This Row],[Team Captain]]&amp;"/","")</f>
        <v>Mike H</v>
      </c>
      <c r="R6" s="26">
        <v>0</v>
      </c>
      <c r="S6" s="25">
        <v>40.619999999999997</v>
      </c>
      <c r="T6" s="25">
        <v>1</v>
      </c>
      <c r="W6" s="25">
        <v>32.5</v>
      </c>
      <c r="X6" s="25">
        <v>0</v>
      </c>
      <c r="AA6" s="26">
        <f t="shared" si="0"/>
        <v>36.56</v>
      </c>
      <c r="AB6" s="25">
        <v>0.98</v>
      </c>
      <c r="AC6" s="25">
        <v>1</v>
      </c>
      <c r="AE6" s="25">
        <v>1.24</v>
      </c>
      <c r="AF6" s="25">
        <v>0</v>
      </c>
      <c r="AH6" s="26">
        <f t="shared" si="1"/>
        <v>1.1099999999999999</v>
      </c>
      <c r="AI6" s="25">
        <v>22.77</v>
      </c>
      <c r="AN6" s="25">
        <v>0</v>
      </c>
      <c r="AO6" s="26">
        <f t="shared" si="2"/>
        <v>2</v>
      </c>
    </row>
    <row r="7" spans="1:41" hidden="1">
      <c r="A7" s="25" t="s">
        <v>50</v>
      </c>
      <c r="B7" s="25" t="s">
        <v>42</v>
      </c>
      <c r="C7" s="25" t="s">
        <v>45</v>
      </c>
      <c r="D7" s="25" t="s">
        <v>52</v>
      </c>
      <c r="E7" s="25" t="str">
        <f>LEFT(Table1[[#This Row],[TeamID]],FIND("/",Table1[[#This Row],[TeamID]])-1)</f>
        <v>Todd</v>
      </c>
      <c r="F7" s="26">
        <v>1</v>
      </c>
      <c r="L7" s="25" t="str">
        <f>SUBSTITUTE(Table1[[#This Row],[TeamID]],Table1[[#This Row],[Team Captain]]&amp;"/","")</f>
        <v>Mike C</v>
      </c>
      <c r="R7" s="26">
        <v>0</v>
      </c>
      <c r="S7" s="25">
        <v>40.83</v>
      </c>
      <c r="T7" s="25">
        <v>0</v>
      </c>
      <c r="W7" s="25">
        <v>39.549999999999997</v>
      </c>
      <c r="X7" s="25">
        <v>1</v>
      </c>
      <c r="AA7" s="26">
        <f t="shared" si="0"/>
        <v>40.19</v>
      </c>
      <c r="AB7" s="25">
        <v>0.69</v>
      </c>
      <c r="AC7" s="25">
        <v>0</v>
      </c>
      <c r="AE7" s="25">
        <v>1.33</v>
      </c>
      <c r="AF7" s="25">
        <v>1</v>
      </c>
      <c r="AH7" s="26">
        <f t="shared" si="1"/>
        <v>1.01</v>
      </c>
      <c r="AI7" s="25">
        <v>23.76</v>
      </c>
      <c r="AN7" s="25">
        <v>1</v>
      </c>
      <c r="AO7" s="26">
        <f t="shared" si="2"/>
        <v>3</v>
      </c>
    </row>
    <row r="8" spans="1:41" hidden="1">
      <c r="A8" s="25" t="s">
        <v>53</v>
      </c>
      <c r="B8" s="25" t="s">
        <v>42</v>
      </c>
      <c r="C8" s="25" t="s">
        <v>43</v>
      </c>
      <c r="D8" s="25" t="s">
        <v>54</v>
      </c>
      <c r="E8" s="25" t="str">
        <f>LEFT(Table1[[#This Row],[TeamID]],FIND("/",Table1[[#This Row],[TeamID]])-1)</f>
        <v>Kevin</v>
      </c>
      <c r="F8" s="26">
        <v>1</v>
      </c>
      <c r="I8" s="25">
        <v>1</v>
      </c>
      <c r="L8" s="25" t="str">
        <f>SUBSTITUTE(Table1[[#This Row],[TeamID]],Table1[[#This Row],[Team Captain]]&amp;"/","")</f>
        <v>Paul</v>
      </c>
      <c r="R8" s="26">
        <v>0</v>
      </c>
      <c r="S8" s="25">
        <v>32.700000000000003</v>
      </c>
      <c r="T8" s="25">
        <v>1</v>
      </c>
      <c r="U8" s="25" t="s">
        <v>55</v>
      </c>
      <c r="V8" s="25">
        <v>20</v>
      </c>
      <c r="W8" s="25">
        <v>39.1</v>
      </c>
      <c r="X8" s="25">
        <v>0</v>
      </c>
      <c r="AA8" s="26">
        <f t="shared" si="0"/>
        <v>35.900000000000006</v>
      </c>
      <c r="AB8" s="25">
        <v>1.3</v>
      </c>
      <c r="AC8" s="25">
        <v>0</v>
      </c>
      <c r="AE8" s="25">
        <v>1.5</v>
      </c>
      <c r="AF8" s="25">
        <v>1</v>
      </c>
      <c r="AH8" s="26">
        <f t="shared" si="1"/>
        <v>1.4</v>
      </c>
      <c r="AI8" s="25">
        <v>11</v>
      </c>
      <c r="AJ8" s="25" t="s">
        <v>55</v>
      </c>
      <c r="AK8" s="25">
        <v>35</v>
      </c>
      <c r="AN8" s="25">
        <v>0</v>
      </c>
      <c r="AO8" s="26">
        <f t="shared" si="2"/>
        <v>2</v>
      </c>
    </row>
    <row r="9" spans="1:41" hidden="1">
      <c r="A9" s="25" t="s">
        <v>53</v>
      </c>
      <c r="B9" s="25" t="s">
        <v>42</v>
      </c>
      <c r="C9" s="25" t="s">
        <v>45</v>
      </c>
      <c r="D9" s="25" t="s">
        <v>56</v>
      </c>
      <c r="E9" s="25" t="str">
        <f>LEFT(Table1[[#This Row],[TeamID]],FIND("/",Table1[[#This Row],[TeamID]])-1)</f>
        <v>Jason</v>
      </c>
      <c r="F9" s="26">
        <v>1</v>
      </c>
      <c r="J9" s="25">
        <v>1</v>
      </c>
      <c r="L9" s="25" t="str">
        <f>SUBSTITUTE(Table1[[#This Row],[TeamID]],Table1[[#This Row],[Team Captain]]&amp;"/","")</f>
        <v>Mike A</v>
      </c>
      <c r="M9" s="25">
        <v>1</v>
      </c>
      <c r="R9" s="26">
        <v>1</v>
      </c>
      <c r="S9" s="25">
        <v>31.8</v>
      </c>
      <c r="T9" s="25">
        <v>0</v>
      </c>
      <c r="W9" s="25">
        <v>39.6</v>
      </c>
      <c r="X9" s="25">
        <v>1</v>
      </c>
      <c r="Y9" s="25" t="s">
        <v>57</v>
      </c>
      <c r="Z9" s="25">
        <v>24</v>
      </c>
      <c r="AA9" s="26">
        <f t="shared" si="0"/>
        <v>35.700000000000003</v>
      </c>
      <c r="AB9" s="25">
        <v>1.3</v>
      </c>
      <c r="AC9" s="25">
        <v>1</v>
      </c>
      <c r="AE9" s="25">
        <v>1.5</v>
      </c>
      <c r="AF9" s="25">
        <v>0</v>
      </c>
      <c r="AH9" s="26">
        <f t="shared" si="1"/>
        <v>1.4</v>
      </c>
      <c r="AI9" s="25">
        <v>10.8</v>
      </c>
      <c r="AJ9" s="25" t="s">
        <v>57</v>
      </c>
      <c r="AK9" s="25">
        <v>20</v>
      </c>
      <c r="AL9" s="25" t="s">
        <v>57</v>
      </c>
      <c r="AM9" s="25">
        <v>4</v>
      </c>
      <c r="AN9" s="25">
        <v>1</v>
      </c>
      <c r="AO9" s="26">
        <f t="shared" si="2"/>
        <v>3</v>
      </c>
    </row>
    <row r="10" spans="1:41" hidden="1">
      <c r="A10" s="25" t="s">
        <v>58</v>
      </c>
      <c r="B10" s="25" t="s">
        <v>42</v>
      </c>
      <c r="C10" s="25" t="s">
        <v>43</v>
      </c>
      <c r="D10" s="25" t="s">
        <v>56</v>
      </c>
      <c r="E10" s="25" t="str">
        <f>LEFT(Table1[[#This Row],[TeamID]],FIND("/",Table1[[#This Row],[TeamID]])-1)</f>
        <v>Jason</v>
      </c>
      <c r="F10" s="26">
        <v>1</v>
      </c>
      <c r="L10" s="25" t="str">
        <f>SUBSTITUTE(Table1[[#This Row],[TeamID]],Table1[[#This Row],[Team Captain]]&amp;"/","")</f>
        <v>Mike A</v>
      </c>
      <c r="R10" s="26">
        <v>1</v>
      </c>
      <c r="S10" s="25">
        <v>39.549999999999997</v>
      </c>
      <c r="T10" s="25">
        <v>1</v>
      </c>
      <c r="W10" s="25">
        <v>20.04</v>
      </c>
      <c r="X10" s="25">
        <v>1</v>
      </c>
      <c r="AA10" s="26">
        <f t="shared" si="0"/>
        <v>29.794999999999998</v>
      </c>
      <c r="AB10" s="25">
        <v>0.93</v>
      </c>
      <c r="AC10" s="25">
        <v>1</v>
      </c>
      <c r="AE10" s="25">
        <v>1.1200000000000001</v>
      </c>
      <c r="AF10" s="25">
        <v>0</v>
      </c>
      <c r="AH10" s="26">
        <f t="shared" si="1"/>
        <v>1.0250000000000001</v>
      </c>
      <c r="AI10" s="25">
        <v>39.26</v>
      </c>
      <c r="AN10" s="25">
        <v>1</v>
      </c>
      <c r="AO10" s="26">
        <f t="shared" si="2"/>
        <v>4</v>
      </c>
    </row>
    <row r="11" spans="1:41" hidden="1">
      <c r="A11" s="25" t="s">
        <v>58</v>
      </c>
      <c r="B11" s="25" t="s">
        <v>42</v>
      </c>
      <c r="C11" s="25" t="s">
        <v>45</v>
      </c>
      <c r="D11" s="25" t="s">
        <v>52</v>
      </c>
      <c r="E11" s="25" t="str">
        <f>LEFT(Table1[[#This Row],[TeamID]],FIND("/",Table1[[#This Row],[TeamID]])-1)</f>
        <v>Todd</v>
      </c>
      <c r="F11" s="26">
        <v>0</v>
      </c>
      <c r="L11" s="25" t="str">
        <f>SUBSTITUTE(Table1[[#This Row],[TeamID]],Table1[[#This Row],[Team Captain]]&amp;"/","")</f>
        <v>Mike C</v>
      </c>
      <c r="R11" s="26">
        <v>0</v>
      </c>
      <c r="S11" s="25">
        <v>36.229999999999997</v>
      </c>
      <c r="T11" s="25">
        <v>0</v>
      </c>
      <c r="W11" s="25">
        <v>20.79</v>
      </c>
      <c r="X11" s="25">
        <v>0</v>
      </c>
      <c r="AA11" s="26">
        <f t="shared" si="0"/>
        <v>28.509999999999998</v>
      </c>
      <c r="AB11" s="25">
        <v>0.88</v>
      </c>
      <c r="AC11" s="25">
        <v>0</v>
      </c>
      <c r="AE11" s="25">
        <v>1.76</v>
      </c>
      <c r="AF11" s="25">
        <v>1</v>
      </c>
      <c r="AH11" s="26">
        <f t="shared" si="1"/>
        <v>1.32</v>
      </c>
      <c r="AI11" s="25">
        <v>39.86</v>
      </c>
      <c r="AN11" s="25">
        <v>0</v>
      </c>
      <c r="AO11" s="26">
        <f t="shared" si="2"/>
        <v>1</v>
      </c>
    </row>
    <row r="12" spans="1:41" hidden="1">
      <c r="A12" s="25" t="s">
        <v>59</v>
      </c>
      <c r="B12" s="25" t="s">
        <v>42</v>
      </c>
      <c r="C12" s="25" t="s">
        <v>43</v>
      </c>
      <c r="D12" s="25" t="s">
        <v>54</v>
      </c>
      <c r="E12" s="25" t="str">
        <f>LEFT(Table1[[#This Row],[TeamID]],FIND("/",Table1[[#This Row],[TeamID]])-1)</f>
        <v>Kevin</v>
      </c>
      <c r="F12" s="26">
        <v>1</v>
      </c>
      <c r="L12" s="25" t="str">
        <f>SUBSTITUTE(Table1[[#This Row],[TeamID]],Table1[[#This Row],[Team Captain]]&amp;"/","")</f>
        <v>Paul</v>
      </c>
      <c r="R12" s="26">
        <v>1</v>
      </c>
      <c r="S12" s="25">
        <v>34.6</v>
      </c>
      <c r="T12" s="25">
        <v>0</v>
      </c>
      <c r="W12" s="25">
        <v>47</v>
      </c>
      <c r="X12" s="25">
        <v>1</v>
      </c>
      <c r="AA12" s="26">
        <f t="shared" si="0"/>
        <v>40.799999999999997</v>
      </c>
      <c r="AB12" s="25">
        <v>1.1499999999999999</v>
      </c>
      <c r="AC12" s="25">
        <v>0</v>
      </c>
      <c r="AE12" s="25">
        <v>1.67</v>
      </c>
      <c r="AF12" s="25">
        <v>1</v>
      </c>
      <c r="AH12" s="26">
        <f t="shared" si="1"/>
        <v>1.41</v>
      </c>
      <c r="AI12" s="25">
        <v>21.8</v>
      </c>
      <c r="AN12" s="25">
        <v>0</v>
      </c>
      <c r="AO12" s="26">
        <f t="shared" si="2"/>
        <v>2</v>
      </c>
    </row>
    <row r="13" spans="1:41" hidden="1">
      <c r="A13" s="25" t="s">
        <v>59</v>
      </c>
      <c r="B13" s="25" t="s">
        <v>42</v>
      </c>
      <c r="C13" s="25" t="s">
        <v>45</v>
      </c>
      <c r="D13" s="25" t="s">
        <v>51</v>
      </c>
      <c r="E13" s="25" t="str">
        <f>LEFT(Table1[[#This Row],[TeamID]],FIND("/",Table1[[#This Row],[TeamID]])-1)</f>
        <v>Clarence</v>
      </c>
      <c r="F13" s="26">
        <v>0</v>
      </c>
      <c r="L13" s="25" t="str">
        <f>SUBSTITUTE(Table1[[#This Row],[TeamID]],Table1[[#This Row],[Team Captain]]&amp;"/","")</f>
        <v>Mike H</v>
      </c>
      <c r="R13" s="26">
        <v>1</v>
      </c>
      <c r="S13" s="25">
        <v>33.4</v>
      </c>
      <c r="T13" s="25">
        <v>1</v>
      </c>
      <c r="W13" s="25">
        <v>43.3</v>
      </c>
      <c r="X13" s="25">
        <v>0</v>
      </c>
      <c r="AA13" s="26">
        <f t="shared" si="0"/>
        <v>38.349999999999994</v>
      </c>
      <c r="AB13" s="25">
        <v>1.19</v>
      </c>
      <c r="AC13" s="25">
        <v>1</v>
      </c>
      <c r="AE13" s="25">
        <v>1.27</v>
      </c>
      <c r="AF13" s="25">
        <v>0</v>
      </c>
      <c r="AH13" s="26">
        <f t="shared" si="1"/>
        <v>1.23</v>
      </c>
      <c r="AI13" s="25">
        <v>23.8</v>
      </c>
      <c r="AN13" s="25">
        <v>1</v>
      </c>
      <c r="AO13" s="26">
        <f t="shared" si="2"/>
        <v>3</v>
      </c>
    </row>
    <row r="14" spans="1:41" hidden="1">
      <c r="A14" s="25" t="s">
        <v>60</v>
      </c>
      <c r="B14" s="25" t="s">
        <v>42</v>
      </c>
      <c r="C14" s="25" t="s">
        <v>43</v>
      </c>
      <c r="D14" s="25" t="s">
        <v>44</v>
      </c>
      <c r="E14" s="25" t="str">
        <f>LEFT(Table1[[#This Row],[TeamID]],FIND("/",Table1[[#This Row],[TeamID]])-1)</f>
        <v>Daniel</v>
      </c>
      <c r="F14" s="26">
        <v>2</v>
      </c>
      <c r="L14" s="25" t="str">
        <f>SUBSTITUTE(Table1[[#This Row],[TeamID]],Table1[[#This Row],[Team Captain]]&amp;"/","")</f>
        <v>David</v>
      </c>
      <c r="R14" s="26">
        <v>1</v>
      </c>
      <c r="S14" s="25">
        <v>41.6</v>
      </c>
      <c r="T14" s="25">
        <v>0</v>
      </c>
      <c r="W14" s="25">
        <v>38.5</v>
      </c>
      <c r="X14" s="25">
        <v>1</v>
      </c>
      <c r="AA14" s="26">
        <f t="shared" si="0"/>
        <v>40.049999999999997</v>
      </c>
      <c r="AB14" s="25">
        <v>1.1599999999999999</v>
      </c>
      <c r="AC14" s="25">
        <v>1</v>
      </c>
      <c r="AE14" s="25">
        <v>1.42</v>
      </c>
      <c r="AF14" s="25">
        <v>1</v>
      </c>
      <c r="AH14" s="26">
        <f t="shared" si="1"/>
        <v>1.29</v>
      </c>
      <c r="AI14" s="25">
        <v>29.3</v>
      </c>
      <c r="AN14" s="25">
        <v>0</v>
      </c>
      <c r="AO14" s="26">
        <f t="shared" si="2"/>
        <v>3</v>
      </c>
    </row>
    <row r="15" spans="1:41" hidden="1">
      <c r="A15" s="25" t="s">
        <v>60</v>
      </c>
      <c r="B15" s="25" t="s">
        <v>42</v>
      </c>
      <c r="C15" s="25" t="s">
        <v>45</v>
      </c>
      <c r="D15" s="25" t="s">
        <v>48</v>
      </c>
      <c r="E15" s="25" t="str">
        <f>LEFT(Table1[[#This Row],[TeamID]],FIND("/",Table1[[#This Row],[TeamID]])-1)</f>
        <v>Tayven</v>
      </c>
      <c r="F15" s="26">
        <v>0</v>
      </c>
      <c r="L15" s="25" t="str">
        <f>SUBSTITUTE(Table1[[#This Row],[TeamID]],Table1[[#This Row],[Team Captain]]&amp;"/","")</f>
        <v>Tony</v>
      </c>
      <c r="R15" s="26">
        <v>1</v>
      </c>
      <c r="S15" s="25">
        <v>46.8</v>
      </c>
      <c r="T15" s="25">
        <v>1</v>
      </c>
      <c r="W15" s="25">
        <v>44.3</v>
      </c>
      <c r="X15" s="25">
        <v>0</v>
      </c>
      <c r="AA15" s="26">
        <f t="shared" si="0"/>
        <v>45.55</v>
      </c>
      <c r="AB15" s="25">
        <v>1.1200000000000001</v>
      </c>
      <c r="AC15" s="25">
        <v>0</v>
      </c>
      <c r="AE15" s="25">
        <v>1.25</v>
      </c>
      <c r="AF15" s="25">
        <v>0</v>
      </c>
      <c r="AH15" s="26">
        <f t="shared" si="1"/>
        <v>1.1850000000000001</v>
      </c>
      <c r="AI15" s="25">
        <v>29.1</v>
      </c>
      <c r="AN15" s="25">
        <v>1</v>
      </c>
      <c r="AO15" s="26">
        <f t="shared" si="2"/>
        <v>2</v>
      </c>
    </row>
    <row r="16" spans="1:41" hidden="1">
      <c r="A16" s="25" t="s">
        <v>61</v>
      </c>
      <c r="B16" s="25" t="s">
        <v>42</v>
      </c>
      <c r="C16" s="25" t="s">
        <v>43</v>
      </c>
      <c r="D16" s="25" t="s">
        <v>46</v>
      </c>
      <c r="E16" s="25" t="str">
        <f>LEFT(Table1[[#This Row],[TeamID]],FIND("/",Table1[[#This Row],[TeamID]])-1)</f>
        <v>Brian</v>
      </c>
      <c r="F16" s="26">
        <v>0</v>
      </c>
      <c r="L16" s="25" t="str">
        <f>SUBSTITUTE(Table1[[#This Row],[TeamID]],Table1[[#This Row],[Team Captain]]&amp;"/","")</f>
        <v>Olver</v>
      </c>
      <c r="R16" s="26">
        <v>0</v>
      </c>
      <c r="S16" s="25">
        <v>32.6</v>
      </c>
      <c r="T16" s="25">
        <v>0</v>
      </c>
      <c r="W16" s="25">
        <v>43.1</v>
      </c>
      <c r="X16" s="25">
        <v>0</v>
      </c>
      <c r="AA16" s="26">
        <f t="shared" si="0"/>
        <v>37.85</v>
      </c>
      <c r="AB16" s="25">
        <v>1.42</v>
      </c>
      <c r="AC16" s="25">
        <v>0</v>
      </c>
      <c r="AE16" s="25">
        <v>0.73</v>
      </c>
      <c r="AF16" s="25">
        <v>0</v>
      </c>
      <c r="AH16" s="26">
        <f t="shared" si="1"/>
        <v>1.075</v>
      </c>
      <c r="AI16" s="25">
        <v>17.399999999999999</v>
      </c>
      <c r="AN16" s="25">
        <v>1</v>
      </c>
      <c r="AO16" s="26">
        <f t="shared" si="2"/>
        <v>1</v>
      </c>
    </row>
    <row r="17" spans="1:41" hidden="1">
      <c r="A17" s="25" t="s">
        <v>61</v>
      </c>
      <c r="B17" s="25" t="s">
        <v>42</v>
      </c>
      <c r="C17" s="25" t="s">
        <v>45</v>
      </c>
      <c r="D17" s="25" t="s">
        <v>49</v>
      </c>
      <c r="E17" s="25" t="str">
        <f>LEFT(Table1[[#This Row],[TeamID]],FIND("/",Table1[[#This Row],[TeamID]])-1)</f>
        <v>Mark</v>
      </c>
      <c r="F17" s="26">
        <v>2</v>
      </c>
      <c r="L17" s="25" t="str">
        <f>SUBSTITUTE(Table1[[#This Row],[TeamID]],Table1[[#This Row],[Team Captain]]&amp;"/","")</f>
        <v>Neil</v>
      </c>
      <c r="R17" s="26">
        <v>1</v>
      </c>
      <c r="S17" s="25">
        <v>37.6</v>
      </c>
      <c r="T17" s="25">
        <v>1</v>
      </c>
      <c r="W17" s="25">
        <v>48.5</v>
      </c>
      <c r="X17" s="25">
        <v>1</v>
      </c>
      <c r="AA17" s="26">
        <f t="shared" si="0"/>
        <v>43.05</v>
      </c>
      <c r="AB17" s="25">
        <v>1.6</v>
      </c>
      <c r="AC17" s="25">
        <v>1</v>
      </c>
      <c r="AE17" s="25">
        <v>0.93</v>
      </c>
      <c r="AF17" s="25">
        <v>1</v>
      </c>
      <c r="AH17" s="26">
        <f t="shared" si="1"/>
        <v>1.2650000000000001</v>
      </c>
      <c r="AI17" s="25">
        <v>16.3</v>
      </c>
      <c r="AN17" s="25">
        <v>0</v>
      </c>
      <c r="AO17" s="26">
        <f t="shared" si="2"/>
        <v>4</v>
      </c>
    </row>
    <row r="18" spans="1:41" hidden="1">
      <c r="A18" s="25" t="s">
        <v>62</v>
      </c>
      <c r="B18" s="25" t="s">
        <v>42</v>
      </c>
      <c r="C18" s="25" t="s">
        <v>43</v>
      </c>
      <c r="D18" s="25" t="s">
        <v>48</v>
      </c>
      <c r="E18" s="25" t="str">
        <f>LEFT(Table1[[#This Row],[TeamID]],FIND("/",Table1[[#This Row],[TeamID]])-1)</f>
        <v>Tayven</v>
      </c>
      <c r="F18" s="26">
        <v>4</v>
      </c>
      <c r="L18" s="25" t="str">
        <f>SUBSTITUTE(Table1[[#This Row],[TeamID]],Table1[[#This Row],[Team Captain]]&amp;"/","")</f>
        <v>Tony</v>
      </c>
      <c r="R18" s="26">
        <v>0</v>
      </c>
      <c r="S18" s="25">
        <v>34.950000000000003</v>
      </c>
      <c r="T18" s="25">
        <v>1</v>
      </c>
      <c r="W18" s="25">
        <v>36.659999999999997</v>
      </c>
      <c r="X18" s="25">
        <v>1</v>
      </c>
      <c r="AA18" s="26">
        <f t="shared" si="0"/>
        <v>35.805</v>
      </c>
      <c r="AB18" s="25">
        <v>1.06</v>
      </c>
      <c r="AC18" s="25">
        <v>0</v>
      </c>
      <c r="AE18" s="25">
        <v>1.27</v>
      </c>
      <c r="AF18" s="25">
        <v>1</v>
      </c>
      <c r="AH18" s="26">
        <f t="shared" si="1"/>
        <v>1.165</v>
      </c>
      <c r="AI18" s="25">
        <v>13.5</v>
      </c>
      <c r="AN18" s="25">
        <v>0</v>
      </c>
      <c r="AO18" s="26">
        <f t="shared" si="2"/>
        <v>3</v>
      </c>
    </row>
    <row r="19" spans="1:41" hidden="1">
      <c r="A19" s="25" t="s">
        <v>62</v>
      </c>
      <c r="B19" s="25" t="s">
        <v>42</v>
      </c>
      <c r="C19" s="25" t="s">
        <v>45</v>
      </c>
      <c r="D19" s="25" t="s">
        <v>51</v>
      </c>
      <c r="E19" s="25" t="str">
        <f>LEFT(Table1[[#This Row],[TeamID]],FIND("/",Table1[[#This Row],[TeamID]])-1)</f>
        <v>Clarence</v>
      </c>
      <c r="F19" s="26">
        <v>1</v>
      </c>
      <c r="L19" s="25" t="str">
        <f>SUBSTITUTE(Table1[[#This Row],[TeamID]],Table1[[#This Row],[Team Captain]]&amp;"/","")</f>
        <v>Mike H</v>
      </c>
      <c r="R19" s="26">
        <v>1</v>
      </c>
      <c r="S19" s="25">
        <v>25.5</v>
      </c>
      <c r="T19" s="25">
        <v>0</v>
      </c>
      <c r="W19" s="25">
        <v>35.5</v>
      </c>
      <c r="X19" s="25">
        <v>0</v>
      </c>
      <c r="AA19" s="26">
        <f t="shared" si="0"/>
        <v>30.5</v>
      </c>
      <c r="AB19" s="25">
        <v>1.21</v>
      </c>
      <c r="AC19" s="25">
        <v>1</v>
      </c>
      <c r="AE19" s="25">
        <v>1</v>
      </c>
      <c r="AF19" s="25">
        <v>0</v>
      </c>
      <c r="AH19" s="26">
        <f t="shared" si="1"/>
        <v>1.105</v>
      </c>
      <c r="AI19" s="25">
        <v>13.18</v>
      </c>
      <c r="AN19" s="25">
        <v>1</v>
      </c>
      <c r="AO19" s="26">
        <f t="shared" si="2"/>
        <v>2</v>
      </c>
    </row>
    <row r="20" spans="1:41" hidden="1">
      <c r="A20" s="25" t="s">
        <v>63</v>
      </c>
      <c r="B20" s="25" t="s">
        <v>42</v>
      </c>
      <c r="C20" s="25" t="s">
        <v>43</v>
      </c>
      <c r="D20" s="25" t="s">
        <v>56</v>
      </c>
      <c r="E20" s="25" t="str">
        <f>LEFT(Table1[[#This Row],[TeamID]],FIND("/",Table1[[#This Row],[TeamID]])-1)</f>
        <v>Jason</v>
      </c>
      <c r="F20" s="26">
        <v>1</v>
      </c>
      <c r="L20" s="25" t="str">
        <f>SUBSTITUTE(Table1[[#This Row],[TeamID]],Table1[[#This Row],[Team Captain]]&amp;"/","")</f>
        <v>Mike A</v>
      </c>
      <c r="R20" s="26">
        <v>1</v>
      </c>
      <c r="S20" s="25">
        <v>32.700000000000003</v>
      </c>
      <c r="T20" s="25">
        <v>1</v>
      </c>
      <c r="W20" s="25">
        <v>50.1</v>
      </c>
      <c r="X20" s="25">
        <v>1</v>
      </c>
      <c r="AA20" s="26">
        <f t="shared" si="0"/>
        <v>41.400000000000006</v>
      </c>
      <c r="AB20" s="25">
        <v>1.45</v>
      </c>
      <c r="AC20" s="25">
        <v>1</v>
      </c>
      <c r="AE20" s="25">
        <v>1.5</v>
      </c>
      <c r="AF20" s="25">
        <v>1</v>
      </c>
      <c r="AH20" s="26">
        <f t="shared" si="1"/>
        <v>1.4750000000000001</v>
      </c>
      <c r="AI20" s="25">
        <v>29.9</v>
      </c>
      <c r="AN20" s="25">
        <v>0</v>
      </c>
      <c r="AO20" s="26">
        <f t="shared" si="2"/>
        <v>4</v>
      </c>
    </row>
    <row r="21" spans="1:41" hidden="1">
      <c r="A21" s="25" t="s">
        <v>63</v>
      </c>
      <c r="B21" s="25" t="s">
        <v>42</v>
      </c>
      <c r="C21" s="25" t="s">
        <v>45</v>
      </c>
      <c r="D21" s="25" t="s">
        <v>46</v>
      </c>
      <c r="E21" s="25" t="str">
        <f>LEFT(Table1[[#This Row],[TeamID]],FIND("/",Table1[[#This Row],[TeamID]])-1)</f>
        <v>Brian</v>
      </c>
      <c r="F21" s="26">
        <v>2</v>
      </c>
      <c r="L21" s="25" t="str">
        <f>SUBSTITUTE(Table1[[#This Row],[TeamID]],Table1[[#This Row],[Team Captain]]&amp;"/","")</f>
        <v>Olver</v>
      </c>
      <c r="R21" s="26">
        <v>1</v>
      </c>
      <c r="S21" s="25">
        <v>30.31</v>
      </c>
      <c r="T21" s="25">
        <v>0</v>
      </c>
      <c r="W21" s="25">
        <v>43.8</v>
      </c>
      <c r="X21" s="25">
        <v>0</v>
      </c>
      <c r="AA21" s="26">
        <f t="shared" si="0"/>
        <v>37.055</v>
      </c>
      <c r="AB21" s="25">
        <v>0.86</v>
      </c>
      <c r="AC21" s="25">
        <v>0</v>
      </c>
      <c r="AE21" s="25">
        <v>1.39</v>
      </c>
      <c r="AF21" s="25">
        <v>0</v>
      </c>
      <c r="AH21" s="26">
        <f t="shared" si="1"/>
        <v>1.125</v>
      </c>
      <c r="AI21" s="25">
        <v>28.22</v>
      </c>
      <c r="AN21" s="25">
        <v>1</v>
      </c>
      <c r="AO21" s="26">
        <f t="shared" si="2"/>
        <v>1</v>
      </c>
    </row>
    <row r="22" spans="1:41" hidden="1">
      <c r="A22" s="25" t="s">
        <v>64</v>
      </c>
      <c r="B22" s="25" t="s">
        <v>42</v>
      </c>
      <c r="C22" s="25" t="s">
        <v>43</v>
      </c>
      <c r="D22" s="25" t="s">
        <v>54</v>
      </c>
      <c r="E22" s="25" t="str">
        <f>LEFT(Table1[[#This Row],[TeamID]],FIND("/",Table1[[#This Row],[TeamID]])-1)</f>
        <v>Kevin</v>
      </c>
      <c r="F22" s="26">
        <v>1</v>
      </c>
      <c r="L22" s="25" t="str">
        <f>SUBSTITUTE(Table1[[#This Row],[TeamID]],Table1[[#This Row],[Team Captain]]&amp;"/","")</f>
        <v>Paul</v>
      </c>
      <c r="R22" s="26">
        <v>1</v>
      </c>
      <c r="S22" s="25">
        <v>24.24</v>
      </c>
      <c r="T22" s="25">
        <v>1</v>
      </c>
      <c r="W22" s="25">
        <v>30.75</v>
      </c>
      <c r="X22" s="25">
        <v>0</v>
      </c>
      <c r="AA22" s="26">
        <f t="shared" si="0"/>
        <v>27.494999999999997</v>
      </c>
      <c r="AB22" s="25">
        <v>1.37</v>
      </c>
      <c r="AC22" s="25">
        <v>1</v>
      </c>
      <c r="AE22" s="25">
        <v>1.37</v>
      </c>
      <c r="AF22" s="25">
        <v>1</v>
      </c>
      <c r="AH22" s="26">
        <f t="shared" si="1"/>
        <v>1.37</v>
      </c>
      <c r="AI22" s="25">
        <v>34.729999999999997</v>
      </c>
      <c r="AN22" s="25">
        <v>1</v>
      </c>
      <c r="AO22" s="26">
        <f t="shared" si="2"/>
        <v>4</v>
      </c>
    </row>
    <row r="23" spans="1:41" hidden="1">
      <c r="A23" s="25" t="s">
        <v>64</v>
      </c>
      <c r="B23" s="25" t="s">
        <v>42</v>
      </c>
      <c r="C23" s="25" t="s">
        <v>45</v>
      </c>
      <c r="D23" s="25" t="s">
        <v>49</v>
      </c>
      <c r="E23" s="25" t="str">
        <f>LEFT(Table1[[#This Row],[TeamID]],FIND("/",Table1[[#This Row],[TeamID]])-1)</f>
        <v>Mark</v>
      </c>
      <c r="F23" s="26">
        <v>1</v>
      </c>
      <c r="L23" s="25" t="str">
        <f>SUBSTITUTE(Table1[[#This Row],[TeamID]],Table1[[#This Row],[Team Captain]]&amp;"/","")</f>
        <v>Neil</v>
      </c>
      <c r="R23" s="26">
        <v>1</v>
      </c>
      <c r="S23" s="25">
        <v>24.85</v>
      </c>
      <c r="T23" s="25">
        <v>0</v>
      </c>
      <c r="W23" s="25">
        <v>30.06</v>
      </c>
      <c r="X23" s="25">
        <v>1</v>
      </c>
      <c r="AA23" s="26">
        <f t="shared" si="0"/>
        <v>27.454999999999998</v>
      </c>
      <c r="AB23" s="25">
        <v>1</v>
      </c>
      <c r="AC23" s="25">
        <v>0</v>
      </c>
      <c r="AE23" s="25">
        <v>1.1599999999999999</v>
      </c>
      <c r="AF23" s="25">
        <v>0</v>
      </c>
      <c r="AH23" s="26">
        <f t="shared" si="1"/>
        <v>1.08</v>
      </c>
      <c r="AI23" s="25">
        <v>30.62</v>
      </c>
      <c r="AN23" s="25">
        <v>0</v>
      </c>
      <c r="AO23" s="26">
        <f t="shared" si="2"/>
        <v>1</v>
      </c>
    </row>
    <row r="24" spans="1:41" hidden="1">
      <c r="A24" s="25" t="s">
        <v>65</v>
      </c>
      <c r="B24" s="25" t="s">
        <v>42</v>
      </c>
      <c r="C24" s="25" t="s">
        <v>43</v>
      </c>
      <c r="D24" s="25" t="s">
        <v>44</v>
      </c>
      <c r="E24" s="25" t="str">
        <f>LEFT(Table1[[#This Row],[TeamID]],FIND("/",Table1[[#This Row],[TeamID]])-1)</f>
        <v>Daniel</v>
      </c>
      <c r="F24" s="26">
        <v>4</v>
      </c>
      <c r="L24" s="25" t="str">
        <f>SUBSTITUTE(Table1[[#This Row],[TeamID]],Table1[[#This Row],[Team Captain]]&amp;"/","")</f>
        <v>David</v>
      </c>
      <c r="R24" s="26">
        <v>1</v>
      </c>
      <c r="S24" s="25">
        <v>32.729999999999997</v>
      </c>
      <c r="T24" s="25">
        <v>0</v>
      </c>
      <c r="W24" s="25">
        <v>39.6</v>
      </c>
      <c r="X24" s="25">
        <v>1</v>
      </c>
      <c r="AA24" s="26">
        <f t="shared" si="0"/>
        <v>36.164999999999999</v>
      </c>
      <c r="AB24" s="25">
        <v>1.57</v>
      </c>
      <c r="AC24" s="25">
        <v>0</v>
      </c>
      <c r="AE24" s="25">
        <v>1.32</v>
      </c>
      <c r="AF24" s="25">
        <v>0</v>
      </c>
      <c r="AH24" s="26">
        <f t="shared" si="1"/>
        <v>1.4450000000000001</v>
      </c>
      <c r="AI24" s="25">
        <v>43</v>
      </c>
      <c r="AN24" s="25">
        <v>1</v>
      </c>
      <c r="AO24" s="26">
        <f t="shared" si="2"/>
        <v>2</v>
      </c>
    </row>
    <row r="25" spans="1:41" hidden="1">
      <c r="A25" s="25" t="s">
        <v>65</v>
      </c>
      <c r="B25" s="25" t="s">
        <v>42</v>
      </c>
      <c r="C25" s="25" t="s">
        <v>45</v>
      </c>
      <c r="D25" s="25" t="s">
        <v>52</v>
      </c>
      <c r="E25" s="25" t="str">
        <f>LEFT(Table1[[#This Row],[TeamID]],FIND("/",Table1[[#This Row],[TeamID]])-1)</f>
        <v>Todd</v>
      </c>
      <c r="F25" s="26">
        <v>0</v>
      </c>
      <c r="L25" s="25" t="str">
        <f>SUBSTITUTE(Table1[[#This Row],[TeamID]],Table1[[#This Row],[Team Captain]]&amp;"/","")</f>
        <v>Mike C</v>
      </c>
      <c r="R25" s="26">
        <v>1</v>
      </c>
      <c r="S25" s="25">
        <v>31.98</v>
      </c>
      <c r="T25" s="25">
        <v>1</v>
      </c>
      <c r="W25" s="25">
        <v>40.42</v>
      </c>
      <c r="X25" s="25">
        <v>0</v>
      </c>
      <c r="AA25" s="26">
        <f t="shared" si="0"/>
        <v>36.200000000000003</v>
      </c>
      <c r="AB25" s="25">
        <v>1.55</v>
      </c>
      <c r="AC25" s="25">
        <v>1</v>
      </c>
      <c r="AE25" s="25">
        <v>2.0499999999999998</v>
      </c>
      <c r="AF25" s="25">
        <v>1</v>
      </c>
      <c r="AH25" s="26">
        <f t="shared" si="1"/>
        <v>1.7999999999999998</v>
      </c>
      <c r="AI25" s="25">
        <v>35.799999999999997</v>
      </c>
      <c r="AN25" s="25">
        <v>0</v>
      </c>
      <c r="AO25" s="26">
        <f t="shared" si="2"/>
        <v>3</v>
      </c>
    </row>
    <row r="26" spans="1:41" hidden="1">
      <c r="A26" s="25" t="s">
        <v>66</v>
      </c>
      <c r="B26" s="25" t="s">
        <v>42</v>
      </c>
      <c r="C26" s="25" t="s">
        <v>43</v>
      </c>
      <c r="D26" s="25" t="s">
        <v>54</v>
      </c>
      <c r="E26" s="25" t="str">
        <f>LEFT(Table1[[#This Row],[TeamID]],FIND("/",Table1[[#This Row],[TeamID]])-1)</f>
        <v>Kevin</v>
      </c>
      <c r="F26" s="26">
        <v>0</v>
      </c>
      <c r="L26" s="25" t="str">
        <f>SUBSTITUTE(Table1[[#This Row],[TeamID]],Table1[[#This Row],[Team Captain]]&amp;"/","")</f>
        <v>Paul</v>
      </c>
      <c r="R26" s="26">
        <v>0</v>
      </c>
      <c r="S26" s="25">
        <v>30.67</v>
      </c>
      <c r="T26" s="25">
        <v>1</v>
      </c>
      <c r="W26" s="25">
        <v>39.549999999999997</v>
      </c>
      <c r="X26" s="25">
        <v>1</v>
      </c>
      <c r="AA26" s="26">
        <f t="shared" si="0"/>
        <v>35.11</v>
      </c>
      <c r="AB26" s="25">
        <v>1.5</v>
      </c>
      <c r="AC26" s="25">
        <v>0</v>
      </c>
      <c r="AE26" s="25">
        <v>1.43</v>
      </c>
      <c r="AF26" s="25">
        <v>1</v>
      </c>
      <c r="AH26" s="26">
        <f t="shared" si="1"/>
        <v>1.4649999999999999</v>
      </c>
      <c r="AI26" s="25">
        <v>32.299999999999997</v>
      </c>
      <c r="AN26" s="25">
        <v>0</v>
      </c>
      <c r="AO26" s="26">
        <f t="shared" si="2"/>
        <v>3</v>
      </c>
    </row>
    <row r="27" spans="1:41" hidden="1">
      <c r="A27" s="25" t="s">
        <v>66</v>
      </c>
      <c r="B27" s="25" t="s">
        <v>42</v>
      </c>
      <c r="C27" s="25" t="s">
        <v>45</v>
      </c>
      <c r="D27" s="25" t="s">
        <v>44</v>
      </c>
      <c r="E27" s="25" t="str">
        <f>LEFT(Table1[[#This Row],[TeamID]],FIND("/",Table1[[#This Row],[TeamID]])-1)</f>
        <v>Daniel</v>
      </c>
      <c r="F27" s="26">
        <v>4</v>
      </c>
      <c r="L27" s="25" t="str">
        <f>SUBSTITUTE(Table1[[#This Row],[TeamID]],Table1[[#This Row],[Team Captain]]&amp;"/","")</f>
        <v>David</v>
      </c>
      <c r="R27" s="26">
        <v>0</v>
      </c>
      <c r="S27" s="25">
        <v>31.19</v>
      </c>
      <c r="T27" s="25">
        <v>0</v>
      </c>
      <c r="W27" s="25">
        <v>35.85</v>
      </c>
      <c r="X27" s="25">
        <v>0</v>
      </c>
      <c r="AA27" s="26">
        <f t="shared" si="0"/>
        <v>33.520000000000003</v>
      </c>
      <c r="AB27" s="25">
        <v>1.53</v>
      </c>
      <c r="AC27" s="25">
        <v>1</v>
      </c>
      <c r="AE27" s="25">
        <v>1.26</v>
      </c>
      <c r="AF27" s="25">
        <v>0</v>
      </c>
      <c r="AH27" s="26">
        <f t="shared" si="1"/>
        <v>1.395</v>
      </c>
      <c r="AI27" s="25">
        <v>36.1</v>
      </c>
      <c r="AN27" s="25">
        <v>1</v>
      </c>
      <c r="AO27" s="26">
        <f t="shared" si="2"/>
        <v>2</v>
      </c>
    </row>
    <row r="28" spans="1:41" hidden="1">
      <c r="A28" s="25" t="s">
        <v>67</v>
      </c>
      <c r="B28" s="25" t="s">
        <v>42</v>
      </c>
      <c r="C28" s="25" t="s">
        <v>43</v>
      </c>
      <c r="D28" s="25" t="s">
        <v>49</v>
      </c>
      <c r="E28" s="25" t="str">
        <f>LEFT(Table1[[#This Row],[TeamID]],FIND("/",Table1[[#This Row],[TeamID]])-1)</f>
        <v>Mark</v>
      </c>
      <c r="F28" s="26">
        <v>2</v>
      </c>
      <c r="L28" s="25" t="str">
        <f>SUBSTITUTE(Table1[[#This Row],[TeamID]],Table1[[#This Row],[Team Captain]]&amp;"/","")</f>
        <v>Neil</v>
      </c>
      <c r="R28" s="26">
        <v>0</v>
      </c>
      <c r="S28" s="25">
        <v>32.4</v>
      </c>
      <c r="T28" s="25">
        <v>0</v>
      </c>
      <c r="W28" s="25">
        <v>42.94</v>
      </c>
      <c r="X28" s="25">
        <v>1</v>
      </c>
      <c r="AA28" s="26">
        <f t="shared" si="0"/>
        <v>37.67</v>
      </c>
      <c r="AB28" s="25">
        <v>1.25</v>
      </c>
      <c r="AC28" s="25">
        <v>0</v>
      </c>
      <c r="AE28" s="25">
        <v>1.45</v>
      </c>
      <c r="AF28" s="25">
        <v>1</v>
      </c>
      <c r="AH28" s="26">
        <f t="shared" si="1"/>
        <v>1.35</v>
      </c>
      <c r="AI28" s="25">
        <v>10.15</v>
      </c>
      <c r="AN28" s="25">
        <v>1</v>
      </c>
      <c r="AO28" s="26">
        <f t="shared" si="2"/>
        <v>3</v>
      </c>
    </row>
    <row r="29" spans="1:41" hidden="1">
      <c r="A29" s="25" t="s">
        <v>67</v>
      </c>
      <c r="B29" s="25" t="s">
        <v>42</v>
      </c>
      <c r="C29" s="25" t="s">
        <v>45</v>
      </c>
      <c r="D29" s="25" t="s">
        <v>52</v>
      </c>
      <c r="E29" s="25" t="str">
        <f>LEFT(Table1[[#This Row],[TeamID]],FIND("/",Table1[[#This Row],[TeamID]])-1)</f>
        <v>Todd</v>
      </c>
      <c r="F29" s="26">
        <v>0</v>
      </c>
      <c r="L29" s="25" t="str">
        <f>SUBSTITUTE(Table1[[#This Row],[TeamID]],Table1[[#This Row],[Team Captain]]&amp;"/","")</f>
        <v>Mike C</v>
      </c>
      <c r="R29" s="26">
        <v>1</v>
      </c>
      <c r="S29" s="25">
        <v>34.159999999999997</v>
      </c>
      <c r="T29" s="25">
        <v>1</v>
      </c>
      <c r="W29" s="25">
        <v>33.33</v>
      </c>
      <c r="X29" s="25">
        <v>0</v>
      </c>
      <c r="AA29" s="26">
        <f t="shared" si="0"/>
        <v>33.744999999999997</v>
      </c>
      <c r="AB29" s="25">
        <v>1.41</v>
      </c>
      <c r="AC29" s="25">
        <v>1</v>
      </c>
      <c r="AE29" s="25">
        <v>1</v>
      </c>
      <c r="AF29" s="25">
        <v>0</v>
      </c>
      <c r="AH29" s="26">
        <f t="shared" si="1"/>
        <v>1.2050000000000001</v>
      </c>
      <c r="AI29" s="25">
        <v>10.43</v>
      </c>
      <c r="AN29" s="25">
        <v>0</v>
      </c>
      <c r="AO29" s="26">
        <f t="shared" si="2"/>
        <v>2</v>
      </c>
    </row>
    <row r="30" spans="1:41" hidden="1">
      <c r="A30" s="25" t="s">
        <v>68</v>
      </c>
      <c r="B30" s="25" t="s">
        <v>42</v>
      </c>
      <c r="C30" s="25" t="s">
        <v>43</v>
      </c>
      <c r="D30" s="25" t="s">
        <v>48</v>
      </c>
      <c r="E30" s="25" t="str">
        <f>LEFT(Table1[[#This Row],[TeamID]],FIND("/",Table1[[#This Row],[TeamID]])-1)</f>
        <v>Tayven</v>
      </c>
      <c r="F30" s="26">
        <v>0</v>
      </c>
      <c r="L30" s="25" t="str">
        <f>SUBSTITUTE(Table1[[#This Row],[TeamID]],Table1[[#This Row],[Team Captain]]&amp;"/","")</f>
        <v>Tony</v>
      </c>
      <c r="R30" s="26">
        <v>0</v>
      </c>
      <c r="S30" s="25">
        <v>15.03</v>
      </c>
      <c r="T30" s="25">
        <v>1</v>
      </c>
      <c r="W30" s="25">
        <v>27.39</v>
      </c>
      <c r="X30" s="25">
        <v>0</v>
      </c>
      <c r="AA30" s="26">
        <f t="shared" si="0"/>
        <v>21.21</v>
      </c>
      <c r="AB30" s="25">
        <v>1.07</v>
      </c>
      <c r="AC30" s="25">
        <v>0</v>
      </c>
      <c r="AE30" s="25">
        <v>0.91</v>
      </c>
      <c r="AF30" s="25">
        <v>0</v>
      </c>
      <c r="AH30" s="26">
        <f t="shared" si="1"/>
        <v>0.99</v>
      </c>
      <c r="AI30" s="25">
        <v>13.87</v>
      </c>
      <c r="AN30" s="25">
        <v>1</v>
      </c>
      <c r="AO30" s="26">
        <f t="shared" si="2"/>
        <v>2</v>
      </c>
    </row>
    <row r="31" spans="1:41" hidden="1">
      <c r="A31" s="25" t="s">
        <v>68</v>
      </c>
      <c r="B31" s="25" t="s">
        <v>42</v>
      </c>
      <c r="C31" s="25" t="s">
        <v>45</v>
      </c>
      <c r="D31" s="25" t="s">
        <v>56</v>
      </c>
      <c r="E31" s="25" t="str">
        <f>LEFT(Table1[[#This Row],[TeamID]],FIND("/",Table1[[#This Row],[TeamID]])-1)</f>
        <v>Jason</v>
      </c>
      <c r="F31" s="26">
        <v>0</v>
      </c>
      <c r="L31" s="25" t="str">
        <f>SUBSTITUTE(Table1[[#This Row],[TeamID]],Table1[[#This Row],[Team Captain]]&amp;"/","")</f>
        <v>Mike A</v>
      </c>
      <c r="R31" s="26">
        <v>1</v>
      </c>
      <c r="S31" s="25">
        <v>14.68</v>
      </c>
      <c r="T31" s="25">
        <v>0</v>
      </c>
      <c r="W31" s="25">
        <v>27.8</v>
      </c>
      <c r="X31" s="25">
        <v>1</v>
      </c>
      <c r="AA31" s="26">
        <f t="shared" si="0"/>
        <v>21.240000000000002</v>
      </c>
      <c r="AB31" s="25">
        <v>1.81</v>
      </c>
      <c r="AC31" s="25">
        <v>1</v>
      </c>
      <c r="AE31" s="25">
        <v>1.17</v>
      </c>
      <c r="AF31" s="25">
        <v>1</v>
      </c>
      <c r="AH31" s="26">
        <f t="shared" si="1"/>
        <v>1.49</v>
      </c>
      <c r="AI31" s="25">
        <v>13.05</v>
      </c>
      <c r="AN31" s="25">
        <v>0</v>
      </c>
      <c r="AO31" s="26">
        <f t="shared" si="2"/>
        <v>3</v>
      </c>
    </row>
    <row r="32" spans="1:41" hidden="1">
      <c r="A32" s="25" t="s">
        <v>69</v>
      </c>
      <c r="B32" s="25" t="s">
        <v>42</v>
      </c>
      <c r="C32" s="25" t="s">
        <v>43</v>
      </c>
      <c r="D32" s="25" t="s">
        <v>51</v>
      </c>
      <c r="E32" s="25" t="str">
        <f>LEFT(Table1[[#This Row],[TeamID]],FIND("/",Table1[[#This Row],[TeamID]])-1)</f>
        <v>Clarence</v>
      </c>
      <c r="F32" s="26">
        <v>0</v>
      </c>
      <c r="L32" s="25" t="str">
        <f>SUBSTITUTE(Table1[[#This Row],[TeamID]],Table1[[#This Row],[Team Captain]]&amp;"/","")</f>
        <v>Mike H</v>
      </c>
      <c r="R32" s="26">
        <v>1</v>
      </c>
      <c r="S32" s="25">
        <v>30.16</v>
      </c>
      <c r="T32" s="25">
        <v>0</v>
      </c>
      <c r="W32" s="25">
        <v>25.42</v>
      </c>
      <c r="X32" s="25">
        <v>1</v>
      </c>
      <c r="AA32" s="26">
        <f t="shared" si="0"/>
        <v>27.79</v>
      </c>
      <c r="AB32" s="25">
        <v>1.93</v>
      </c>
      <c r="AC32" s="25">
        <v>1</v>
      </c>
      <c r="AE32" s="25">
        <v>1</v>
      </c>
      <c r="AF32" s="25">
        <v>0</v>
      </c>
      <c r="AH32" s="26">
        <f t="shared" si="1"/>
        <v>1.4649999999999999</v>
      </c>
      <c r="AI32" s="25">
        <v>33.619999999999997</v>
      </c>
      <c r="AN32" s="25">
        <v>0</v>
      </c>
      <c r="AO32" s="26">
        <f t="shared" si="2"/>
        <v>2</v>
      </c>
    </row>
    <row r="33" spans="1:41" hidden="1">
      <c r="A33" s="25" t="s">
        <v>69</v>
      </c>
      <c r="B33" s="25" t="s">
        <v>42</v>
      </c>
      <c r="C33" s="25" t="s">
        <v>45</v>
      </c>
      <c r="D33" s="25" t="s">
        <v>46</v>
      </c>
      <c r="E33" s="25" t="str">
        <f>LEFT(Table1[[#This Row],[TeamID]],FIND("/",Table1[[#This Row],[TeamID]])-1)</f>
        <v>Brian</v>
      </c>
      <c r="F33" s="26">
        <v>2</v>
      </c>
      <c r="L33" s="25" t="str">
        <f>SUBSTITUTE(Table1[[#This Row],[TeamID]],Table1[[#This Row],[Team Captain]]&amp;"/","")</f>
        <v>Olver</v>
      </c>
      <c r="R33" s="26">
        <v>0</v>
      </c>
      <c r="S33" s="25">
        <v>30.16</v>
      </c>
      <c r="T33" s="25">
        <v>1</v>
      </c>
      <c r="W33" s="25">
        <v>26.25</v>
      </c>
      <c r="X33" s="25">
        <v>0</v>
      </c>
      <c r="AA33" s="26">
        <f t="shared" si="0"/>
        <v>28.204999999999998</v>
      </c>
      <c r="AB33" s="25">
        <v>1.29</v>
      </c>
      <c r="AC33" s="25">
        <v>0</v>
      </c>
      <c r="AE33" s="25">
        <v>1.1599999999999999</v>
      </c>
      <c r="AF33" s="25">
        <v>1</v>
      </c>
      <c r="AH33" s="26">
        <f t="shared" si="1"/>
        <v>1.2250000000000001</v>
      </c>
      <c r="AI33" s="25">
        <v>36.119999999999997</v>
      </c>
      <c r="AN33" s="25">
        <v>1</v>
      </c>
      <c r="AO33" s="26">
        <f t="shared" si="2"/>
        <v>3</v>
      </c>
    </row>
    <row r="34" spans="1:41" hidden="1">
      <c r="A34" s="25" t="s">
        <v>70</v>
      </c>
      <c r="B34" s="25" t="s">
        <v>42</v>
      </c>
      <c r="C34" s="25" t="s">
        <v>43</v>
      </c>
      <c r="D34" s="25" t="s">
        <v>51</v>
      </c>
      <c r="E34" s="25" t="str">
        <f>LEFT(Table1[[#This Row],[TeamID]],FIND("/",Table1[[#This Row],[TeamID]])-1)</f>
        <v>Clarence</v>
      </c>
      <c r="F34" s="26">
        <v>1</v>
      </c>
      <c r="L34" s="25" t="str">
        <f>SUBSTITUTE(Table1[[#This Row],[TeamID]],Table1[[#This Row],[Team Captain]]&amp;"/","")</f>
        <v>Mike H</v>
      </c>
      <c r="R34" s="26">
        <v>0</v>
      </c>
      <c r="S34" s="25">
        <v>53.68</v>
      </c>
      <c r="T34" s="25">
        <v>1</v>
      </c>
      <c r="W34" s="25">
        <v>32.869999999999997</v>
      </c>
      <c r="X34" s="25">
        <v>0</v>
      </c>
      <c r="AA34" s="26">
        <f t="shared" ref="AA34:AA57" si="3">(S34+W34)/2</f>
        <v>43.274999999999999</v>
      </c>
      <c r="AB34" s="25">
        <v>1.04</v>
      </c>
      <c r="AC34" s="25">
        <v>1</v>
      </c>
      <c r="AE34" s="25">
        <v>0.96</v>
      </c>
      <c r="AF34" s="25">
        <v>0</v>
      </c>
      <c r="AH34" s="26">
        <f t="shared" ref="AH34:AH57" si="4">(AB34+AE34)/2</f>
        <v>1</v>
      </c>
      <c r="AI34" s="25">
        <v>34.729999999999997</v>
      </c>
      <c r="AN34" s="25">
        <v>1</v>
      </c>
      <c r="AO34" s="26">
        <f t="shared" ref="AO34:AO57" si="5">T34+AC34+AN34+AF34+X34</f>
        <v>3</v>
      </c>
    </row>
    <row r="35" spans="1:41" hidden="1">
      <c r="A35" s="25" t="s">
        <v>70</v>
      </c>
      <c r="B35" s="25" t="s">
        <v>42</v>
      </c>
      <c r="C35" s="25" t="s">
        <v>45</v>
      </c>
      <c r="D35" s="25" t="s">
        <v>49</v>
      </c>
      <c r="E35" s="25" t="str">
        <f>LEFT(Table1[[#This Row],[TeamID]],FIND("/",Table1[[#This Row],[TeamID]])-1)</f>
        <v>Mark</v>
      </c>
      <c r="F35" s="26">
        <v>1</v>
      </c>
      <c r="L35" s="25" t="str">
        <f>SUBSTITUTE(Table1[[#This Row],[TeamID]],Table1[[#This Row],[Team Captain]]&amp;"/","")</f>
        <v>Neil</v>
      </c>
      <c r="R35" s="26">
        <v>1</v>
      </c>
      <c r="S35" s="25">
        <v>29.3</v>
      </c>
      <c r="T35" s="25">
        <v>0</v>
      </c>
      <c r="W35" s="25">
        <v>33.4</v>
      </c>
      <c r="X35" s="25">
        <v>1</v>
      </c>
      <c r="AA35" s="26">
        <f t="shared" si="3"/>
        <v>31.35</v>
      </c>
      <c r="AB35" s="25">
        <v>1.01</v>
      </c>
      <c r="AC35" s="25">
        <v>0</v>
      </c>
      <c r="AE35" s="25">
        <v>1.17</v>
      </c>
      <c r="AF35" s="25">
        <v>1</v>
      </c>
      <c r="AH35" s="26">
        <f t="shared" si="4"/>
        <v>1.0899999999999999</v>
      </c>
      <c r="AI35" s="25">
        <v>29</v>
      </c>
      <c r="AN35" s="25">
        <v>0</v>
      </c>
      <c r="AO35" s="26">
        <f t="shared" si="5"/>
        <v>2</v>
      </c>
    </row>
    <row r="36" spans="1:41" hidden="1">
      <c r="A36" s="25" t="s">
        <v>71</v>
      </c>
      <c r="B36" s="25" t="s">
        <v>42</v>
      </c>
      <c r="C36" s="25" t="s">
        <v>43</v>
      </c>
      <c r="D36" s="25" t="s">
        <v>44</v>
      </c>
      <c r="E36" s="25" t="str">
        <f>LEFT(Table1[[#This Row],[TeamID]],FIND("/",Table1[[#This Row],[TeamID]])-1)</f>
        <v>Daniel</v>
      </c>
      <c r="F36" s="26">
        <v>2</v>
      </c>
      <c r="L36" s="25" t="str">
        <f>SUBSTITUTE(Table1[[#This Row],[TeamID]],Table1[[#This Row],[Team Captain]]&amp;"/","")</f>
        <v>David</v>
      </c>
      <c r="R36" s="26">
        <v>1</v>
      </c>
      <c r="S36" s="25">
        <v>41.75</v>
      </c>
      <c r="T36" s="25">
        <v>1</v>
      </c>
      <c r="W36" s="25">
        <v>41.75</v>
      </c>
      <c r="X36" s="25">
        <v>1</v>
      </c>
      <c r="AA36" s="26">
        <f t="shared" si="3"/>
        <v>41.75</v>
      </c>
      <c r="AB36" s="25">
        <v>1.38</v>
      </c>
      <c r="AC36" s="25">
        <v>1</v>
      </c>
      <c r="AE36" s="25">
        <v>1.1599999999999999</v>
      </c>
      <c r="AF36" s="25">
        <v>0</v>
      </c>
      <c r="AH36" s="26">
        <f t="shared" si="4"/>
        <v>1.27</v>
      </c>
      <c r="AI36" s="25">
        <v>9.25</v>
      </c>
      <c r="AN36" s="25">
        <v>0</v>
      </c>
      <c r="AO36" s="26">
        <f t="shared" si="5"/>
        <v>3</v>
      </c>
    </row>
    <row r="37" spans="1:41" hidden="1">
      <c r="A37" s="25" t="s">
        <v>71</v>
      </c>
      <c r="B37" s="25" t="s">
        <v>42</v>
      </c>
      <c r="C37" s="25" t="s">
        <v>45</v>
      </c>
      <c r="D37" s="25" t="s">
        <v>56</v>
      </c>
      <c r="E37" s="25" t="str">
        <f>LEFT(Table1[[#This Row],[TeamID]],FIND("/",Table1[[#This Row],[TeamID]])-1)</f>
        <v>Jason</v>
      </c>
      <c r="F37" s="26">
        <v>1</v>
      </c>
      <c r="L37" s="25" t="str">
        <f>SUBSTITUTE(Table1[[#This Row],[TeamID]],Table1[[#This Row],[Team Captain]]&amp;"/","")</f>
        <v>Mike A</v>
      </c>
      <c r="R37" s="26">
        <v>4</v>
      </c>
      <c r="S37" s="25">
        <v>41.58</v>
      </c>
      <c r="T37" s="25">
        <v>0</v>
      </c>
      <c r="W37" s="25">
        <v>38.270000000000003</v>
      </c>
      <c r="X37" s="25">
        <v>0</v>
      </c>
      <c r="AA37" s="26">
        <f t="shared" si="3"/>
        <v>39.924999999999997</v>
      </c>
      <c r="AB37" s="25">
        <v>1.27</v>
      </c>
      <c r="AC37" s="25">
        <v>0</v>
      </c>
      <c r="AE37" s="25">
        <v>1.4</v>
      </c>
      <c r="AF37" s="25">
        <v>1</v>
      </c>
      <c r="AH37" s="26">
        <f t="shared" si="4"/>
        <v>1.335</v>
      </c>
      <c r="AI37" s="25">
        <v>41.05</v>
      </c>
      <c r="AN37" s="25">
        <v>1</v>
      </c>
      <c r="AO37" s="26">
        <f t="shared" si="5"/>
        <v>2</v>
      </c>
    </row>
    <row r="38" spans="1:41" hidden="1">
      <c r="A38" s="25" t="s">
        <v>72</v>
      </c>
      <c r="B38" s="25" t="s">
        <v>42</v>
      </c>
      <c r="C38" s="25" t="s">
        <v>43</v>
      </c>
      <c r="D38" s="25" t="s">
        <v>52</v>
      </c>
      <c r="E38" s="25" t="str">
        <f>LEFT(Table1[[#This Row],[TeamID]],FIND("/",Table1[[#This Row],[TeamID]])-1)</f>
        <v>Todd</v>
      </c>
      <c r="F38" s="26">
        <v>0</v>
      </c>
      <c r="L38" s="25" t="str">
        <f>SUBSTITUTE(Table1[[#This Row],[TeamID]],Table1[[#This Row],[Team Captain]]&amp;"/","")</f>
        <v>Mike C</v>
      </c>
      <c r="R38" s="26">
        <v>0</v>
      </c>
      <c r="S38" s="25">
        <v>20.71</v>
      </c>
      <c r="T38" s="25">
        <v>1</v>
      </c>
      <c r="W38" s="25">
        <v>29.94</v>
      </c>
      <c r="X38" s="25">
        <v>0</v>
      </c>
      <c r="AA38" s="26">
        <f t="shared" si="3"/>
        <v>25.325000000000003</v>
      </c>
      <c r="AB38" s="25">
        <v>0.76</v>
      </c>
      <c r="AC38" s="25">
        <v>0</v>
      </c>
      <c r="AE38" s="25">
        <v>1.21</v>
      </c>
      <c r="AF38" s="25">
        <v>0</v>
      </c>
      <c r="AH38" s="26">
        <f t="shared" si="4"/>
        <v>0.98499999999999999</v>
      </c>
      <c r="AI38" s="25">
        <v>6.83</v>
      </c>
      <c r="AN38" s="25">
        <v>0</v>
      </c>
      <c r="AO38" s="26">
        <f t="shared" si="5"/>
        <v>1</v>
      </c>
    </row>
    <row r="39" spans="1:41" hidden="1">
      <c r="A39" s="25" t="s">
        <v>72</v>
      </c>
      <c r="B39" s="25" t="s">
        <v>42</v>
      </c>
      <c r="C39" s="25" t="s">
        <v>45</v>
      </c>
      <c r="D39" s="25" t="s">
        <v>46</v>
      </c>
      <c r="E39" s="25" t="str">
        <f>LEFT(Table1[[#This Row],[TeamID]],FIND("/",Table1[[#This Row],[TeamID]])-1)</f>
        <v>Brian</v>
      </c>
      <c r="F39" s="26">
        <v>0</v>
      </c>
      <c r="L39" s="25" t="str">
        <f>SUBSTITUTE(Table1[[#This Row],[TeamID]],Table1[[#This Row],[Team Captain]]&amp;"/","")</f>
        <v>Olver</v>
      </c>
      <c r="R39" s="26">
        <v>0</v>
      </c>
      <c r="S39" s="25">
        <v>21.17</v>
      </c>
      <c r="T39" s="25">
        <v>0</v>
      </c>
      <c r="W39" s="25">
        <v>27.47</v>
      </c>
      <c r="X39" s="25">
        <v>1</v>
      </c>
      <c r="AA39" s="26">
        <f t="shared" si="3"/>
        <v>24.32</v>
      </c>
      <c r="AB39" s="25">
        <v>0.84</v>
      </c>
      <c r="AC39" s="25">
        <v>1</v>
      </c>
      <c r="AE39" s="25">
        <v>1.73</v>
      </c>
      <c r="AF39" s="25">
        <v>1</v>
      </c>
      <c r="AH39" s="26">
        <f t="shared" si="4"/>
        <v>1.2849999999999999</v>
      </c>
      <c r="AI39" s="25">
        <v>23.15</v>
      </c>
      <c r="AN39" s="25">
        <v>1</v>
      </c>
      <c r="AO39" s="26">
        <f t="shared" si="5"/>
        <v>4</v>
      </c>
    </row>
    <row r="40" spans="1:41" hidden="1">
      <c r="A40" s="25" t="s">
        <v>73</v>
      </c>
      <c r="B40" s="25" t="s">
        <v>42</v>
      </c>
      <c r="C40" s="25" t="s">
        <v>43</v>
      </c>
      <c r="D40" s="25" t="s">
        <v>48</v>
      </c>
      <c r="E40" s="25" t="str">
        <f>LEFT(Table1[[#This Row],[TeamID]],FIND("/",Table1[[#This Row],[TeamID]])-1)</f>
        <v>Tayven</v>
      </c>
      <c r="F40" s="26">
        <v>1</v>
      </c>
      <c r="L40" s="25" t="str">
        <f>SUBSTITUTE(Table1[[#This Row],[TeamID]],Table1[[#This Row],[Team Captain]]&amp;"/","")</f>
        <v>Tony</v>
      </c>
      <c r="R40" s="26">
        <v>0</v>
      </c>
      <c r="S40" s="25">
        <v>39.6</v>
      </c>
      <c r="T40" s="25">
        <v>1</v>
      </c>
      <c r="W40" s="25">
        <v>24.45</v>
      </c>
      <c r="X40" s="25">
        <v>0</v>
      </c>
      <c r="AA40" s="26">
        <f t="shared" si="3"/>
        <v>32.024999999999999</v>
      </c>
      <c r="AB40" s="25">
        <v>1.1399999999999999</v>
      </c>
      <c r="AC40" s="25">
        <v>1</v>
      </c>
      <c r="AE40" s="25">
        <v>1.67</v>
      </c>
      <c r="AF40" s="25">
        <v>0</v>
      </c>
      <c r="AH40" s="26">
        <f t="shared" si="4"/>
        <v>1.4049999999999998</v>
      </c>
      <c r="AI40" s="25">
        <v>28.22</v>
      </c>
      <c r="AN40" s="25">
        <v>1</v>
      </c>
      <c r="AO40" s="26">
        <f t="shared" si="5"/>
        <v>3</v>
      </c>
    </row>
    <row r="41" spans="1:41" hidden="1">
      <c r="A41" s="25" t="s">
        <v>73</v>
      </c>
      <c r="B41" s="25" t="s">
        <v>42</v>
      </c>
      <c r="C41" s="25" t="s">
        <v>45</v>
      </c>
      <c r="D41" s="25" t="s">
        <v>54</v>
      </c>
      <c r="E41" s="25" t="str">
        <f>LEFT(Table1[[#This Row],[TeamID]],FIND("/",Table1[[#This Row],[TeamID]])-1)</f>
        <v>Kevin</v>
      </c>
      <c r="F41" s="26">
        <v>0</v>
      </c>
      <c r="L41" s="25" t="str">
        <f>SUBSTITUTE(Table1[[#This Row],[TeamID]],Table1[[#This Row],[Team Captain]]&amp;"/","")</f>
        <v>Paul</v>
      </c>
      <c r="R41" s="26">
        <v>3</v>
      </c>
      <c r="S41" s="25">
        <v>37.4</v>
      </c>
      <c r="T41" s="25">
        <v>0</v>
      </c>
      <c r="W41" s="25">
        <v>26.37</v>
      </c>
      <c r="X41" s="25">
        <v>1</v>
      </c>
      <c r="AA41" s="26">
        <f t="shared" si="3"/>
        <v>31.884999999999998</v>
      </c>
      <c r="AB41" s="25">
        <v>1.1100000000000001</v>
      </c>
      <c r="AC41" s="25">
        <v>0</v>
      </c>
      <c r="AE41" s="25">
        <v>2.2999999999999998</v>
      </c>
      <c r="AF41" s="25">
        <v>1</v>
      </c>
      <c r="AH41" s="26">
        <f t="shared" si="4"/>
        <v>1.7050000000000001</v>
      </c>
      <c r="AI41" s="25">
        <v>26.64</v>
      </c>
      <c r="AN41" s="25">
        <v>0</v>
      </c>
      <c r="AO41" s="26">
        <f t="shared" si="5"/>
        <v>2</v>
      </c>
    </row>
    <row r="42" spans="1:41" hidden="1">
      <c r="A42" s="25" t="s">
        <v>74</v>
      </c>
      <c r="B42" s="25" t="s">
        <v>42</v>
      </c>
      <c r="C42" s="25" t="s">
        <v>43</v>
      </c>
      <c r="D42" s="25" t="s">
        <v>46</v>
      </c>
      <c r="E42" s="25" t="str">
        <f>LEFT(Table1[[#This Row],[TeamID]],FIND("/",Table1[[#This Row],[TeamID]])-1)</f>
        <v>Brian</v>
      </c>
      <c r="F42" s="26">
        <v>0</v>
      </c>
      <c r="L42" s="25" t="str">
        <f>SUBSTITUTE(Table1[[#This Row],[TeamID]],Table1[[#This Row],[Team Captain]]&amp;"/","")</f>
        <v>Olver</v>
      </c>
      <c r="R42" s="26">
        <v>1</v>
      </c>
      <c r="S42" s="25">
        <v>27.7</v>
      </c>
      <c r="T42" s="25">
        <v>0</v>
      </c>
      <c r="W42" s="25">
        <v>33.4</v>
      </c>
      <c r="X42" s="25">
        <v>1</v>
      </c>
      <c r="AA42" s="26">
        <f t="shared" si="3"/>
        <v>30.549999999999997</v>
      </c>
      <c r="AB42" s="25">
        <v>1.5</v>
      </c>
      <c r="AC42" s="25">
        <v>0</v>
      </c>
      <c r="AE42" s="25">
        <v>1.1499999999999999</v>
      </c>
      <c r="AF42" s="25">
        <v>1</v>
      </c>
      <c r="AH42" s="26">
        <f t="shared" si="4"/>
        <v>1.325</v>
      </c>
      <c r="AI42" s="25">
        <v>20.52</v>
      </c>
      <c r="AN42" s="25">
        <v>1</v>
      </c>
      <c r="AO42" s="26">
        <f t="shared" si="5"/>
        <v>3</v>
      </c>
    </row>
    <row r="43" spans="1:41" hidden="1">
      <c r="A43" s="25" t="s">
        <v>74</v>
      </c>
      <c r="B43" s="25" t="s">
        <v>42</v>
      </c>
      <c r="C43" s="25" t="s">
        <v>45</v>
      </c>
      <c r="D43" s="25" t="s">
        <v>48</v>
      </c>
      <c r="E43" s="25" t="str">
        <f>LEFT(Table1[[#This Row],[TeamID]],FIND("/",Table1[[#This Row],[TeamID]])-1)</f>
        <v>Tayven</v>
      </c>
      <c r="F43" s="26">
        <v>0</v>
      </c>
      <c r="L43" s="25" t="str">
        <f>SUBSTITUTE(Table1[[#This Row],[TeamID]],Table1[[#This Row],[Team Captain]]&amp;"/","")</f>
        <v>Tony</v>
      </c>
      <c r="R43" s="26">
        <v>0</v>
      </c>
      <c r="S43" s="25">
        <v>27.3</v>
      </c>
      <c r="T43" s="25">
        <v>1</v>
      </c>
      <c r="W43" s="25">
        <v>34.64</v>
      </c>
      <c r="X43" s="25">
        <v>0</v>
      </c>
      <c r="AA43" s="26">
        <f t="shared" si="3"/>
        <v>30.97</v>
      </c>
      <c r="AB43" s="25">
        <v>1.71</v>
      </c>
      <c r="AC43" s="25">
        <v>1</v>
      </c>
      <c r="AE43" s="25">
        <v>1.08</v>
      </c>
      <c r="AF43" s="25">
        <v>0</v>
      </c>
      <c r="AH43" s="26">
        <f t="shared" si="4"/>
        <v>1.395</v>
      </c>
      <c r="AI43" s="25">
        <v>19.670000000000002</v>
      </c>
      <c r="AN43" s="25">
        <v>0</v>
      </c>
      <c r="AO43" s="26">
        <f t="shared" si="5"/>
        <v>2</v>
      </c>
    </row>
    <row r="44" spans="1:41" hidden="1">
      <c r="A44" s="25" t="s">
        <v>75</v>
      </c>
      <c r="B44" s="25" t="s">
        <v>42</v>
      </c>
      <c r="C44" s="25" t="s">
        <v>43</v>
      </c>
      <c r="D44" s="25" t="s">
        <v>52</v>
      </c>
      <c r="E44" s="25" t="str">
        <f>LEFT(Table1[[#This Row],[TeamID]],FIND("/",Table1[[#This Row],[TeamID]])-1)</f>
        <v>Todd</v>
      </c>
      <c r="F44" s="26">
        <v>1</v>
      </c>
      <c r="L44" s="25" t="str">
        <f>SUBSTITUTE(Table1[[#This Row],[TeamID]],Table1[[#This Row],[Team Captain]]&amp;"/","")</f>
        <v>Mike C</v>
      </c>
      <c r="R44" s="26">
        <v>0</v>
      </c>
      <c r="S44" s="25">
        <v>39.090000000000003</v>
      </c>
      <c r="T44" s="25">
        <v>0</v>
      </c>
      <c r="W44" s="25">
        <v>39</v>
      </c>
      <c r="X44" s="25">
        <v>0</v>
      </c>
      <c r="AA44" s="26">
        <f t="shared" si="3"/>
        <v>39.045000000000002</v>
      </c>
      <c r="AB44" s="25">
        <v>1.1200000000000001</v>
      </c>
      <c r="AC44" s="25">
        <v>1</v>
      </c>
      <c r="AE44" s="25">
        <v>1.1399999999999999</v>
      </c>
      <c r="AF44" s="25">
        <v>0</v>
      </c>
      <c r="AH44" s="26">
        <f t="shared" si="4"/>
        <v>1.1299999999999999</v>
      </c>
      <c r="AI44" s="25">
        <v>39.200000000000003</v>
      </c>
      <c r="AN44" s="25">
        <v>1</v>
      </c>
      <c r="AO44" s="26">
        <f t="shared" si="5"/>
        <v>2</v>
      </c>
    </row>
    <row r="45" spans="1:41" hidden="1">
      <c r="A45" s="25" t="s">
        <v>75</v>
      </c>
      <c r="B45" s="25" t="s">
        <v>42</v>
      </c>
      <c r="C45" s="25" t="s">
        <v>45</v>
      </c>
      <c r="D45" s="25" t="s">
        <v>54</v>
      </c>
      <c r="E45" s="25" t="str">
        <f>LEFT(Table1[[#This Row],[TeamID]],FIND("/",Table1[[#This Row],[TeamID]])-1)</f>
        <v>Kevin</v>
      </c>
      <c r="F45" s="26">
        <v>1</v>
      </c>
      <c r="L45" s="25" t="str">
        <f>SUBSTITUTE(Table1[[#This Row],[TeamID]],Table1[[#This Row],[Team Captain]]&amp;"/","")</f>
        <v>Paul</v>
      </c>
      <c r="R45" s="26">
        <v>0</v>
      </c>
      <c r="S45" s="25">
        <v>41.75</v>
      </c>
      <c r="T45" s="25">
        <v>1</v>
      </c>
      <c r="W45" s="25">
        <v>46.97</v>
      </c>
      <c r="X45" s="25">
        <v>1</v>
      </c>
      <c r="AA45" s="26">
        <f t="shared" si="3"/>
        <v>44.36</v>
      </c>
      <c r="AB45" s="25">
        <v>0.94</v>
      </c>
      <c r="AC45" s="25">
        <v>0</v>
      </c>
      <c r="AE45" s="25">
        <v>1.5</v>
      </c>
      <c r="AF45" s="25">
        <v>1</v>
      </c>
      <c r="AH45" s="26">
        <f t="shared" si="4"/>
        <v>1.22</v>
      </c>
      <c r="AI45" s="25">
        <v>37.51</v>
      </c>
      <c r="AN45" s="25">
        <v>0</v>
      </c>
      <c r="AO45" s="26">
        <f t="shared" si="5"/>
        <v>3</v>
      </c>
    </row>
    <row r="46" spans="1:41" hidden="1">
      <c r="A46" s="25" t="s">
        <v>76</v>
      </c>
      <c r="B46" s="25" t="s">
        <v>42</v>
      </c>
      <c r="C46" s="25" t="s">
        <v>43</v>
      </c>
      <c r="D46" s="25" t="s">
        <v>56</v>
      </c>
      <c r="E46" s="25" t="str">
        <f>LEFT(Table1[[#This Row],[TeamID]],FIND("/",Table1[[#This Row],[TeamID]])-1)</f>
        <v>Jason</v>
      </c>
      <c r="F46" s="26">
        <v>1</v>
      </c>
      <c r="L46" s="25" t="str">
        <f>SUBSTITUTE(Table1[[#This Row],[TeamID]],Table1[[#This Row],[Team Captain]]&amp;"/","")</f>
        <v>Mike A</v>
      </c>
      <c r="R46" s="26">
        <v>1</v>
      </c>
      <c r="S46" s="25">
        <v>34.159999999999997</v>
      </c>
      <c r="T46" s="25">
        <v>1</v>
      </c>
      <c r="W46" s="25">
        <v>37.57</v>
      </c>
      <c r="X46" s="25">
        <v>1</v>
      </c>
      <c r="AA46" s="26">
        <f t="shared" si="3"/>
        <v>35.864999999999995</v>
      </c>
      <c r="AB46" s="25">
        <v>1.32</v>
      </c>
      <c r="AC46" s="25">
        <v>1</v>
      </c>
      <c r="AE46" s="25">
        <v>1.27</v>
      </c>
      <c r="AF46" s="25">
        <v>0</v>
      </c>
      <c r="AH46" s="26">
        <f t="shared" si="4"/>
        <v>1.2949999999999999</v>
      </c>
      <c r="AI46" s="25">
        <v>37.380000000000003</v>
      </c>
      <c r="AN46" s="25">
        <v>0</v>
      </c>
      <c r="AO46" s="26">
        <f t="shared" si="5"/>
        <v>3</v>
      </c>
    </row>
    <row r="47" spans="1:41" hidden="1">
      <c r="A47" s="25" t="s">
        <v>76</v>
      </c>
      <c r="B47" s="25" t="s">
        <v>42</v>
      </c>
      <c r="C47" s="25" t="s">
        <v>45</v>
      </c>
      <c r="D47" s="25" t="s">
        <v>51</v>
      </c>
      <c r="E47" s="25" t="str">
        <f>LEFT(Table1[[#This Row],[TeamID]],FIND("/",Table1[[#This Row],[TeamID]])-1)</f>
        <v>Clarence</v>
      </c>
      <c r="F47" s="26">
        <v>1</v>
      </c>
      <c r="L47" s="25" t="str">
        <f>SUBSTITUTE(Table1[[#This Row],[TeamID]],Table1[[#This Row],[Team Captain]]&amp;"/","")</f>
        <v>Mike H</v>
      </c>
      <c r="R47" s="26">
        <v>4</v>
      </c>
      <c r="S47" s="25">
        <v>35.5</v>
      </c>
      <c r="T47" s="25">
        <v>0</v>
      </c>
      <c r="W47" s="25">
        <v>35.07</v>
      </c>
      <c r="X47" s="25">
        <v>0</v>
      </c>
      <c r="AA47" s="26">
        <f t="shared" si="3"/>
        <v>35.284999999999997</v>
      </c>
      <c r="AB47" s="25">
        <v>1.33</v>
      </c>
      <c r="AC47" s="25">
        <v>0</v>
      </c>
      <c r="AE47" s="25">
        <v>2.25</v>
      </c>
      <c r="AF47" s="25">
        <v>1</v>
      </c>
      <c r="AH47" s="26">
        <f t="shared" si="4"/>
        <v>1.79</v>
      </c>
      <c r="AI47" s="25">
        <v>41.05</v>
      </c>
      <c r="AN47" s="25">
        <v>1</v>
      </c>
      <c r="AO47" s="26">
        <f t="shared" si="5"/>
        <v>2</v>
      </c>
    </row>
    <row r="48" spans="1:41" hidden="1">
      <c r="A48" s="25" t="s">
        <v>77</v>
      </c>
      <c r="B48" s="25" t="s">
        <v>42</v>
      </c>
      <c r="C48" s="25" t="s">
        <v>43</v>
      </c>
      <c r="D48" s="25" t="s">
        <v>49</v>
      </c>
      <c r="E48" s="25" t="str">
        <f>LEFT(Table1[[#This Row],[TeamID]],FIND("/",Table1[[#This Row],[TeamID]])-1)</f>
        <v>Mark</v>
      </c>
      <c r="F48" s="26">
        <v>2</v>
      </c>
      <c r="L48" s="25" t="str">
        <f>SUBSTITUTE(Table1[[#This Row],[TeamID]],Table1[[#This Row],[Team Captain]]&amp;"/","")</f>
        <v>Neil</v>
      </c>
      <c r="R48" s="26">
        <v>0</v>
      </c>
      <c r="S48" s="25">
        <v>34.380000000000003</v>
      </c>
      <c r="T48" s="25">
        <v>0</v>
      </c>
      <c r="W48" s="25">
        <v>24.24</v>
      </c>
      <c r="X48" s="25">
        <v>1</v>
      </c>
      <c r="AA48" s="26">
        <f t="shared" si="3"/>
        <v>29.310000000000002</v>
      </c>
      <c r="AB48" s="25">
        <v>1</v>
      </c>
      <c r="AC48" s="25">
        <v>0</v>
      </c>
      <c r="AE48" s="25">
        <v>1.27</v>
      </c>
      <c r="AF48" s="25">
        <v>0</v>
      </c>
      <c r="AH48" s="26">
        <f t="shared" si="4"/>
        <v>1.135</v>
      </c>
      <c r="AI48" s="25">
        <v>25.08</v>
      </c>
      <c r="AN48" s="25">
        <v>1</v>
      </c>
      <c r="AO48" s="26">
        <f t="shared" si="5"/>
        <v>2</v>
      </c>
    </row>
    <row r="49" spans="1:41" hidden="1">
      <c r="A49" s="25" t="s">
        <v>77</v>
      </c>
      <c r="B49" s="25" t="s">
        <v>42</v>
      </c>
      <c r="C49" s="25" t="s">
        <v>45</v>
      </c>
      <c r="D49" s="25" t="s">
        <v>44</v>
      </c>
      <c r="E49" s="25" t="str">
        <f>LEFT(Table1[[#This Row],[TeamID]],FIND("/",Table1[[#This Row],[TeamID]])-1)</f>
        <v>Daniel</v>
      </c>
      <c r="F49" s="26">
        <v>3</v>
      </c>
      <c r="L49" s="25" t="str">
        <f>SUBSTITUTE(Table1[[#This Row],[TeamID]],Table1[[#This Row],[Team Captain]]&amp;"/","")</f>
        <v>David</v>
      </c>
      <c r="R49" s="26">
        <v>0</v>
      </c>
      <c r="S49" s="25">
        <v>38.54</v>
      </c>
      <c r="T49" s="25">
        <v>1</v>
      </c>
      <c r="W49" s="25">
        <v>23.67</v>
      </c>
      <c r="X49" s="25">
        <v>0</v>
      </c>
      <c r="AA49" s="26">
        <f t="shared" si="3"/>
        <v>31.105</v>
      </c>
      <c r="AB49" s="25">
        <v>1.33</v>
      </c>
      <c r="AC49" s="25">
        <v>1</v>
      </c>
      <c r="AE49" s="25">
        <v>1.87</v>
      </c>
      <c r="AF49" s="25">
        <v>1</v>
      </c>
      <c r="AH49" s="26">
        <f t="shared" si="4"/>
        <v>1.6</v>
      </c>
      <c r="AI49" s="25">
        <v>24.75</v>
      </c>
      <c r="AN49" s="25">
        <v>0</v>
      </c>
      <c r="AO49" s="26">
        <f t="shared" si="5"/>
        <v>3</v>
      </c>
    </row>
    <row r="50" spans="1:41" hidden="1">
      <c r="A50" s="25" t="s">
        <v>78</v>
      </c>
      <c r="B50" s="25" t="s">
        <v>42</v>
      </c>
      <c r="C50" s="25" t="s">
        <v>43</v>
      </c>
      <c r="D50" s="25" t="s">
        <v>49</v>
      </c>
      <c r="E50" s="25" t="str">
        <f>LEFT(Table1[[#This Row],[TeamID]],FIND("/",Table1[[#This Row],[TeamID]])-1)</f>
        <v>Mark</v>
      </c>
      <c r="F50" s="26">
        <v>0</v>
      </c>
      <c r="L50" s="25" t="str">
        <f>SUBSTITUTE(Table1[[#This Row],[TeamID]],Table1[[#This Row],[Team Captain]]&amp;"/","")</f>
        <v>Neil</v>
      </c>
      <c r="R50" s="26">
        <v>0</v>
      </c>
      <c r="S50" s="25">
        <v>34.5</v>
      </c>
      <c r="T50" s="25">
        <v>1</v>
      </c>
      <c r="W50" s="25">
        <v>34.5</v>
      </c>
      <c r="X50" s="25">
        <v>0</v>
      </c>
      <c r="AA50" s="26">
        <f t="shared" si="3"/>
        <v>34.5</v>
      </c>
      <c r="AB50" s="25">
        <v>1.1599999999999999</v>
      </c>
      <c r="AC50" s="25">
        <v>1</v>
      </c>
      <c r="AE50" s="25">
        <v>1.1599999999999999</v>
      </c>
      <c r="AF50" s="25">
        <v>0</v>
      </c>
      <c r="AH50" s="26">
        <f t="shared" si="4"/>
        <v>1.1599999999999999</v>
      </c>
      <c r="AI50" s="25">
        <v>23.2</v>
      </c>
      <c r="AN50" s="25">
        <v>1</v>
      </c>
      <c r="AO50" s="26">
        <f t="shared" si="5"/>
        <v>3</v>
      </c>
    </row>
    <row r="51" spans="1:41" hidden="1">
      <c r="A51" s="25" t="s">
        <v>78</v>
      </c>
      <c r="B51" s="25" t="s">
        <v>42</v>
      </c>
      <c r="C51" s="25" t="s">
        <v>45</v>
      </c>
      <c r="D51" s="25" t="s">
        <v>56</v>
      </c>
      <c r="E51" s="25" t="str">
        <f>LEFT(Table1[[#This Row],[TeamID]],FIND("/",Table1[[#This Row],[TeamID]])-1)</f>
        <v>Jason</v>
      </c>
      <c r="F51" s="26">
        <v>0</v>
      </c>
      <c r="L51" s="25" t="str">
        <f>SUBSTITUTE(Table1[[#This Row],[TeamID]],Table1[[#This Row],[Team Captain]]&amp;"/","")</f>
        <v>Mike A</v>
      </c>
      <c r="R51" s="26">
        <v>0</v>
      </c>
      <c r="S51" s="25">
        <v>33.6</v>
      </c>
      <c r="T51" s="25">
        <v>0</v>
      </c>
      <c r="W51" s="25">
        <v>33.6</v>
      </c>
      <c r="X51" s="25">
        <v>0</v>
      </c>
      <c r="AA51" s="26">
        <f t="shared" si="3"/>
        <v>33.6</v>
      </c>
      <c r="AB51" s="25">
        <v>1.35</v>
      </c>
      <c r="AC51" s="25">
        <v>0</v>
      </c>
      <c r="AE51" s="25">
        <v>1.35</v>
      </c>
      <c r="AF51" s="25">
        <v>0</v>
      </c>
      <c r="AH51" s="26">
        <f t="shared" si="4"/>
        <v>1.35</v>
      </c>
      <c r="AI51" s="25">
        <v>26.8</v>
      </c>
      <c r="AN51" s="25">
        <v>0</v>
      </c>
      <c r="AO51" s="26">
        <f t="shared" si="5"/>
        <v>0</v>
      </c>
    </row>
    <row r="52" spans="1:41" hidden="1">
      <c r="A52" s="25" t="s">
        <v>79</v>
      </c>
      <c r="B52" s="25" t="s">
        <v>42</v>
      </c>
      <c r="C52" s="25" t="s">
        <v>43</v>
      </c>
      <c r="D52" s="25" t="s">
        <v>51</v>
      </c>
      <c r="E52" s="25" t="str">
        <f>LEFT(Table1[[#This Row],[TeamID]],FIND("/",Table1[[#This Row],[TeamID]])-1)</f>
        <v>Clarence</v>
      </c>
      <c r="F52" s="26">
        <v>1</v>
      </c>
      <c r="L52" s="25" t="str">
        <f>SUBSTITUTE(Table1[[#This Row],[TeamID]],Table1[[#This Row],[Team Captain]]&amp;"/","")</f>
        <v>Mike H</v>
      </c>
      <c r="R52" s="26">
        <v>0</v>
      </c>
      <c r="S52" s="25">
        <v>40.119999999999997</v>
      </c>
      <c r="T52" s="25">
        <v>0</v>
      </c>
      <c r="W52" s="25">
        <v>42.94</v>
      </c>
      <c r="X52" s="25">
        <v>1</v>
      </c>
      <c r="AA52" s="26">
        <f t="shared" si="3"/>
        <v>41.53</v>
      </c>
      <c r="AB52" s="25">
        <v>1.43</v>
      </c>
      <c r="AC52" s="25">
        <v>1</v>
      </c>
      <c r="AE52" s="25">
        <v>1.26</v>
      </c>
      <c r="AF52" s="25">
        <v>0</v>
      </c>
      <c r="AH52" s="26">
        <f t="shared" si="4"/>
        <v>1.345</v>
      </c>
      <c r="AI52" s="25">
        <v>23.8</v>
      </c>
      <c r="AN52" s="25">
        <v>0</v>
      </c>
      <c r="AO52" s="26">
        <f t="shared" si="5"/>
        <v>2</v>
      </c>
    </row>
    <row r="53" spans="1:41" hidden="1">
      <c r="A53" s="25" t="s">
        <v>79</v>
      </c>
      <c r="B53" s="25" t="s">
        <v>42</v>
      </c>
      <c r="C53" s="25" t="s">
        <v>45</v>
      </c>
      <c r="D53" s="25" t="s">
        <v>44</v>
      </c>
      <c r="E53" s="25" t="str">
        <f>LEFT(Table1[[#This Row],[TeamID]],FIND("/",Table1[[#This Row],[TeamID]])-1)</f>
        <v>Daniel</v>
      </c>
      <c r="F53" s="26">
        <v>1</v>
      </c>
      <c r="L53" s="25" t="str">
        <f>SUBSTITUTE(Table1[[#This Row],[TeamID]],Table1[[#This Row],[Team Captain]]&amp;"/","")</f>
        <v>David</v>
      </c>
      <c r="R53" s="26">
        <v>1</v>
      </c>
      <c r="S53" s="25">
        <v>57.8</v>
      </c>
      <c r="T53" s="25">
        <v>1</v>
      </c>
      <c r="W53" s="25">
        <v>42.64</v>
      </c>
      <c r="X53" s="25">
        <v>0</v>
      </c>
      <c r="AA53" s="26">
        <f t="shared" si="3"/>
        <v>50.22</v>
      </c>
      <c r="AB53" s="25">
        <v>1.2</v>
      </c>
      <c r="AC53" s="25">
        <v>0</v>
      </c>
      <c r="AE53" s="25">
        <v>1.42</v>
      </c>
      <c r="AF53" s="25">
        <v>1</v>
      </c>
      <c r="AH53" s="26">
        <f t="shared" si="4"/>
        <v>1.31</v>
      </c>
      <c r="AI53" s="25">
        <v>23.1</v>
      </c>
      <c r="AN53" s="25">
        <v>1</v>
      </c>
      <c r="AO53" s="26">
        <f t="shared" si="5"/>
        <v>3</v>
      </c>
    </row>
    <row r="54" spans="1:41" hidden="1">
      <c r="A54" s="25" t="s">
        <v>80</v>
      </c>
      <c r="B54" s="25" t="s">
        <v>42</v>
      </c>
      <c r="C54" s="25" t="s">
        <v>43</v>
      </c>
      <c r="D54" s="25" t="s">
        <v>46</v>
      </c>
      <c r="E54" s="25" t="str">
        <f>LEFT(Table1[[#This Row],[TeamID]],FIND("/",Table1[[#This Row],[TeamID]])-1)</f>
        <v>Brian</v>
      </c>
      <c r="F54" s="26">
        <v>1</v>
      </c>
      <c r="L54" s="25" t="str">
        <f>SUBSTITUTE(Table1[[#This Row],[TeamID]],Table1[[#This Row],[Team Captain]]&amp;"/","")</f>
        <v>Olver</v>
      </c>
      <c r="R54" s="26">
        <v>0</v>
      </c>
      <c r="S54" s="25">
        <v>22.43</v>
      </c>
      <c r="T54" s="25">
        <v>1</v>
      </c>
      <c r="W54" s="25">
        <v>31.31</v>
      </c>
      <c r="X54" s="25">
        <v>1</v>
      </c>
      <c r="AA54" s="26">
        <f t="shared" si="3"/>
        <v>26.869999999999997</v>
      </c>
      <c r="AB54" s="25">
        <v>1.1299999999999999</v>
      </c>
      <c r="AC54" s="25">
        <v>0</v>
      </c>
      <c r="AE54" s="25">
        <v>1.29</v>
      </c>
      <c r="AF54" s="25">
        <v>0</v>
      </c>
      <c r="AH54" s="26">
        <f t="shared" si="4"/>
        <v>1.21</v>
      </c>
      <c r="AI54" s="25">
        <v>32.25</v>
      </c>
      <c r="AN54" s="25">
        <v>1</v>
      </c>
      <c r="AO54" s="26">
        <f t="shared" si="5"/>
        <v>3</v>
      </c>
    </row>
    <row r="55" spans="1:41" hidden="1">
      <c r="A55" s="25" t="s">
        <v>80</v>
      </c>
      <c r="B55" s="25" t="s">
        <v>42</v>
      </c>
      <c r="C55" s="25" t="s">
        <v>45</v>
      </c>
      <c r="D55" s="25" t="s">
        <v>54</v>
      </c>
      <c r="E55" s="25" t="str">
        <f>LEFT(Table1[[#This Row],[TeamID]],FIND("/",Table1[[#This Row],[TeamID]])-1)</f>
        <v>Kevin</v>
      </c>
      <c r="F55" s="26">
        <v>3</v>
      </c>
      <c r="L55" s="25" t="str">
        <f>SUBSTITUTE(Table1[[#This Row],[TeamID]],Table1[[#This Row],[Team Captain]]&amp;"/","")</f>
        <v>Paul</v>
      </c>
      <c r="R55" s="26">
        <v>2</v>
      </c>
      <c r="S55" s="25">
        <v>21.47</v>
      </c>
      <c r="T55" s="25">
        <v>0</v>
      </c>
      <c r="W55" s="25">
        <v>33.270000000000003</v>
      </c>
      <c r="X55" s="25">
        <v>0</v>
      </c>
      <c r="AA55" s="26">
        <f t="shared" si="3"/>
        <v>27.37</v>
      </c>
      <c r="AB55" s="25">
        <v>1.94</v>
      </c>
      <c r="AC55" s="25">
        <v>1</v>
      </c>
      <c r="AE55" s="25">
        <v>1.53</v>
      </c>
      <c r="AF55" s="25">
        <v>1</v>
      </c>
      <c r="AH55" s="26">
        <f t="shared" si="4"/>
        <v>1.7349999999999999</v>
      </c>
      <c r="AI55" s="25">
        <v>27.44</v>
      </c>
      <c r="AN55" s="25">
        <v>0</v>
      </c>
      <c r="AO55" s="26">
        <f t="shared" si="5"/>
        <v>2</v>
      </c>
    </row>
    <row r="56" spans="1:41" hidden="1">
      <c r="A56" s="25" t="s">
        <v>81</v>
      </c>
      <c r="B56" s="25" t="s">
        <v>42</v>
      </c>
      <c r="C56" s="25" t="s">
        <v>43</v>
      </c>
      <c r="D56" s="25" t="s">
        <v>52</v>
      </c>
      <c r="E56" s="25" t="str">
        <f>LEFT(Table1[[#This Row],[TeamID]],FIND("/",Table1[[#This Row],[TeamID]])-1)</f>
        <v>Todd</v>
      </c>
      <c r="F56" s="26">
        <v>2</v>
      </c>
      <c r="L56" s="25" t="str">
        <f>SUBSTITUTE(Table1[[#This Row],[TeamID]],Table1[[#This Row],[Team Captain]]&amp;"/","")</f>
        <v>Mike C</v>
      </c>
      <c r="R56" s="26">
        <v>3</v>
      </c>
      <c r="S56" s="25">
        <v>21.17</v>
      </c>
      <c r="T56" s="25">
        <v>1</v>
      </c>
      <c r="W56" s="25">
        <v>17.54</v>
      </c>
      <c r="X56" s="25">
        <v>0</v>
      </c>
      <c r="AA56" s="26">
        <f t="shared" si="3"/>
        <v>19.355</v>
      </c>
      <c r="AB56" s="25">
        <v>0.97</v>
      </c>
      <c r="AC56" s="25">
        <v>0</v>
      </c>
      <c r="AE56" s="25">
        <v>1.27</v>
      </c>
      <c r="AF56" s="25">
        <v>0</v>
      </c>
      <c r="AH56" s="26">
        <f t="shared" si="4"/>
        <v>1.1200000000000001</v>
      </c>
      <c r="AI56" s="25">
        <v>22.58</v>
      </c>
      <c r="AN56" s="25">
        <v>1</v>
      </c>
      <c r="AO56" s="26">
        <f t="shared" si="5"/>
        <v>2</v>
      </c>
    </row>
    <row r="57" spans="1:41" hidden="1">
      <c r="A57" s="25" t="s">
        <v>81</v>
      </c>
      <c r="B57" s="25" t="s">
        <v>42</v>
      </c>
      <c r="C57" s="25" t="s">
        <v>45</v>
      </c>
      <c r="D57" s="25" t="s">
        <v>48</v>
      </c>
      <c r="E57" s="25" t="str">
        <f>LEFT(Table1[[#This Row],[TeamID]],FIND("/",Table1[[#This Row],[TeamID]])-1)</f>
        <v>Tayven</v>
      </c>
      <c r="F57" s="26">
        <v>3</v>
      </c>
      <c r="L57" s="25" t="str">
        <f>SUBSTITUTE(Table1[[#This Row],[TeamID]],Table1[[#This Row],[Team Captain]]&amp;"/","")</f>
        <v>Tony</v>
      </c>
      <c r="R57" s="26">
        <v>1</v>
      </c>
      <c r="S57" s="25">
        <v>20.75</v>
      </c>
      <c r="T57" s="25">
        <v>0</v>
      </c>
      <c r="W57" s="25">
        <v>18.11</v>
      </c>
      <c r="X57" s="25">
        <v>1</v>
      </c>
      <c r="AA57" s="26">
        <f t="shared" si="3"/>
        <v>19.43</v>
      </c>
      <c r="AB57" s="25">
        <v>1</v>
      </c>
      <c r="AC57" s="25">
        <v>1</v>
      </c>
      <c r="AE57" s="25">
        <v>1.81</v>
      </c>
      <c r="AF57" s="25">
        <v>1</v>
      </c>
      <c r="AH57" s="26">
        <f t="shared" si="4"/>
        <v>1.405</v>
      </c>
      <c r="AI57" s="25">
        <v>22.23</v>
      </c>
      <c r="AN57" s="25">
        <v>0</v>
      </c>
      <c r="AO57" s="26">
        <f t="shared" si="5"/>
        <v>3</v>
      </c>
    </row>
    <row r="58" spans="1:41" hidden="1">
      <c r="A58" s="25" t="s">
        <v>41</v>
      </c>
      <c r="B58" s="25" t="s">
        <v>82</v>
      </c>
      <c r="C58" s="25" t="s">
        <v>43</v>
      </c>
      <c r="D58" s="25" t="s">
        <v>83</v>
      </c>
      <c r="E58" s="25" t="str">
        <f>LEFT(Table1[[#This Row],[TeamID]],FIND("/",Table1[[#This Row],[TeamID]])-1)</f>
        <v>Mark</v>
      </c>
      <c r="F58" s="26">
        <f>Table1[[#This Row],[TC-G1-AS]]+Table1[[#This Row],[TC-G2-AS]]+Table1[[#This Row],[TC-G3-AS]]+Table1[[#This Row],[TC-G4-AS]]+Table1[[#This Row],[TC-G5-AS]]</f>
        <v>2</v>
      </c>
      <c r="H58" s="25">
        <v>1</v>
      </c>
      <c r="J58" s="25">
        <v>1</v>
      </c>
      <c r="L58" s="25" t="str">
        <f>SUBSTITUTE(Table1[[#This Row],[TeamID]],Table1[[#This Row],[Team Captain]]&amp;"/","")</f>
        <v>Mike C</v>
      </c>
      <c r="M58" s="25">
        <v>2</v>
      </c>
      <c r="R58" s="26">
        <f>Table1[[#This Row],[P-G1-AS]]+Table1[[#This Row],[P-G2-AS]]+Table1[[#This Row],[P-G3-AS]]+Table1[[#This Row],[P-G4-AS]]+Table1[[#This Row],[P-G5-AS]]</f>
        <v>2</v>
      </c>
      <c r="S58" s="25">
        <v>44.27</v>
      </c>
      <c r="T58" s="25">
        <v>0</v>
      </c>
      <c r="W58" s="25">
        <v>29.47</v>
      </c>
      <c r="X58" s="25">
        <v>0</v>
      </c>
      <c r="AA58" s="26">
        <f>(S58+W58)/2</f>
        <v>36.870000000000005</v>
      </c>
      <c r="AB58" s="25">
        <v>1.53</v>
      </c>
      <c r="AC58" s="25">
        <v>0</v>
      </c>
      <c r="AE58" s="25">
        <v>1.28</v>
      </c>
      <c r="AF58" s="25">
        <v>0</v>
      </c>
      <c r="AH58" s="26">
        <f>(AB58+AE58)/2</f>
        <v>1.405</v>
      </c>
      <c r="AI58" s="25">
        <v>26.27</v>
      </c>
      <c r="AJ58" s="25" t="s">
        <v>84</v>
      </c>
      <c r="AK58" s="25">
        <v>39</v>
      </c>
      <c r="AN58" s="25">
        <v>0</v>
      </c>
      <c r="AO58" s="26">
        <f>T58+AC58+AN58+AF58+X58</f>
        <v>0</v>
      </c>
    </row>
    <row r="59" spans="1:41" hidden="1">
      <c r="A59" s="25" t="s">
        <v>41</v>
      </c>
      <c r="B59" s="25" t="s">
        <v>82</v>
      </c>
      <c r="C59" s="25" t="s">
        <v>45</v>
      </c>
      <c r="D59" s="25" t="s">
        <v>85</v>
      </c>
      <c r="E59" s="25" t="str">
        <f>LEFT(Table1[[#This Row],[TeamID]],FIND("/",Table1[[#This Row],[TeamID]])-1)</f>
        <v>Tayven</v>
      </c>
      <c r="F59" s="26">
        <f>Table1[[#This Row],[TC-G1-AS]]+Table1[[#This Row],[TC-G2-AS]]+Table1[[#This Row],[TC-G3-AS]]+Table1[[#This Row],[TC-G4-AS]]+Table1[[#This Row],[TC-G5-AS]]</f>
        <v>1</v>
      </c>
      <c r="K59" s="25">
        <v>1</v>
      </c>
      <c r="L59" s="25" t="str">
        <f>SUBSTITUTE(Table1[[#This Row],[TeamID]],Table1[[#This Row],[Team Captain]]&amp;"/","")</f>
        <v>Clarence</v>
      </c>
      <c r="R59" s="26">
        <f>Table1[[#This Row],[P-G1-AS]]+Table1[[#This Row],[P-G2-AS]]+Table1[[#This Row],[P-G3-AS]]+Table1[[#This Row],[P-G4-AS]]+Table1[[#This Row],[P-G5-AS]]</f>
        <v>0</v>
      </c>
      <c r="S59" s="25">
        <v>44.21</v>
      </c>
      <c r="T59" s="25">
        <v>1</v>
      </c>
      <c r="U59" s="25" t="s">
        <v>86</v>
      </c>
      <c r="V59" s="25">
        <v>14</v>
      </c>
      <c r="W59" s="25">
        <v>29</v>
      </c>
      <c r="X59" s="25">
        <v>1</v>
      </c>
      <c r="Y59" s="25" t="s">
        <v>86</v>
      </c>
      <c r="Z59" s="25">
        <v>2</v>
      </c>
      <c r="AA59" s="26">
        <f>(S59+W59)/2</f>
        <v>36.605000000000004</v>
      </c>
      <c r="AB59" s="25">
        <v>1.83</v>
      </c>
      <c r="AC59" s="25">
        <v>1</v>
      </c>
      <c r="AE59" s="25">
        <v>1.44</v>
      </c>
      <c r="AF59" s="25">
        <v>1</v>
      </c>
      <c r="AH59" s="26">
        <f>(AB59+AE59)/2</f>
        <v>1.635</v>
      </c>
      <c r="AI59" s="25">
        <v>26.56</v>
      </c>
      <c r="AJ59" s="25" t="s">
        <v>87</v>
      </c>
      <c r="AK59" s="25">
        <v>39</v>
      </c>
      <c r="AL59" s="25" t="s">
        <v>87</v>
      </c>
      <c r="AM59" s="25">
        <v>16</v>
      </c>
      <c r="AN59" s="25">
        <v>1</v>
      </c>
      <c r="AO59" s="26">
        <f>T59+AC59+AN59+AF59+X59</f>
        <v>5</v>
      </c>
    </row>
    <row r="60" spans="1:41" hidden="1">
      <c r="A60" s="25" t="s">
        <v>47</v>
      </c>
      <c r="B60" s="25" t="s">
        <v>82</v>
      </c>
      <c r="C60" s="25" t="s">
        <v>43</v>
      </c>
      <c r="D60" s="25" t="s">
        <v>88</v>
      </c>
      <c r="E60" s="25" t="str">
        <f>LEFT(Table1[[#This Row],[TeamID]],FIND("/",Table1[[#This Row],[TeamID]])-1)</f>
        <v>Daniel</v>
      </c>
      <c r="F60" s="26">
        <f>Table1[[#This Row],[TC-G1-AS]]+Table1[[#This Row],[TC-G2-AS]]+Table1[[#This Row],[TC-G3-AS]]+Table1[[#This Row],[TC-G4-AS]]+Table1[[#This Row],[TC-G5-AS]]</f>
        <v>1</v>
      </c>
      <c r="J60" s="25">
        <v>1</v>
      </c>
      <c r="L60" s="25" t="str">
        <f>SUBSTITUTE(Table1[[#This Row],[TeamID]],Table1[[#This Row],[Team Captain]]&amp;"/","")</f>
        <v>Matt</v>
      </c>
      <c r="M60" s="25">
        <v>2</v>
      </c>
      <c r="R60" s="26">
        <f>Table1[[#This Row],[P-G1-AS]]+Table1[[#This Row],[P-G2-AS]]+Table1[[#This Row],[P-G3-AS]]+Table1[[#This Row],[P-G4-AS]]+Table1[[#This Row],[P-G5-AS]]</f>
        <v>2</v>
      </c>
      <c r="S60" s="25">
        <v>41.08</v>
      </c>
      <c r="T60" s="25">
        <v>0</v>
      </c>
      <c r="W60" s="25">
        <v>40.08</v>
      </c>
      <c r="X60" s="25">
        <v>0</v>
      </c>
      <c r="AA60" s="26">
        <f>(S60+W60)/2</f>
        <v>40.58</v>
      </c>
      <c r="AB60" s="25">
        <v>1.32</v>
      </c>
      <c r="AC60" s="25">
        <v>0</v>
      </c>
      <c r="AE60" s="25">
        <v>1.4</v>
      </c>
      <c r="AF60" s="25">
        <v>1</v>
      </c>
      <c r="AH60" s="26">
        <f>(AB60+AE60)/2</f>
        <v>1.3599999999999999</v>
      </c>
      <c r="AI60" s="25">
        <v>27.36</v>
      </c>
      <c r="AJ60" s="25" t="s">
        <v>89</v>
      </c>
      <c r="AK60" s="25">
        <v>2</v>
      </c>
      <c r="AL60" s="25" t="s">
        <v>89</v>
      </c>
      <c r="AM60" s="25">
        <v>40</v>
      </c>
      <c r="AN60" s="25">
        <v>1</v>
      </c>
      <c r="AO60" s="26">
        <f>T60+AC60+AN60+AF60+X60</f>
        <v>2</v>
      </c>
    </row>
    <row r="61" spans="1:41" hidden="1">
      <c r="A61" s="25" t="s">
        <v>47</v>
      </c>
      <c r="B61" s="25" t="s">
        <v>82</v>
      </c>
      <c r="C61" s="25" t="s">
        <v>45</v>
      </c>
      <c r="D61" s="25" t="s">
        <v>90</v>
      </c>
      <c r="E61" s="25" t="str">
        <f>LEFT(Table1[[#This Row],[TeamID]],FIND("/",Table1[[#This Row],[TeamID]])-1)</f>
        <v>Todd</v>
      </c>
      <c r="F61" s="26">
        <f>Table1[[#This Row],[TC-G1-AS]]+Table1[[#This Row],[TC-G2-AS]]+Table1[[#This Row],[TC-G3-AS]]+Table1[[#This Row],[TC-G4-AS]]+Table1[[#This Row],[TC-G5-AS]]</f>
        <v>0</v>
      </c>
      <c r="L61" s="25" t="str">
        <f>SUBSTITUTE(Table1[[#This Row],[TeamID]],Table1[[#This Row],[Team Captain]]&amp;"/","")</f>
        <v>Mike H</v>
      </c>
      <c r="R61" s="26">
        <f>Table1[[#This Row],[P-G1-AS]]+Table1[[#This Row],[P-G2-AS]]+Table1[[#This Row],[P-G3-AS]]+Table1[[#This Row],[P-G4-AS]]+Table1[[#This Row],[P-G5-AS]]</f>
        <v>0</v>
      </c>
      <c r="S61" s="25">
        <v>42.94</v>
      </c>
      <c r="T61" s="25">
        <v>1</v>
      </c>
      <c r="U61" s="25" t="s">
        <v>91</v>
      </c>
      <c r="V61" s="25">
        <v>11</v>
      </c>
      <c r="W61" s="25">
        <v>40.619999999999997</v>
      </c>
      <c r="X61" s="25">
        <v>1</v>
      </c>
      <c r="Y61" s="25" t="s">
        <v>91</v>
      </c>
      <c r="Z61" s="25">
        <v>16</v>
      </c>
      <c r="AA61" s="26">
        <f>(S61+W61)/2</f>
        <v>41.78</v>
      </c>
      <c r="AB61" s="25">
        <v>1.75</v>
      </c>
      <c r="AC61" s="25">
        <v>1</v>
      </c>
      <c r="AE61" s="25">
        <v>1.07</v>
      </c>
      <c r="AF61" s="25">
        <v>0</v>
      </c>
      <c r="AH61" s="26">
        <f>(AB61+AE61)/2</f>
        <v>1.4100000000000001</v>
      </c>
      <c r="AI61" s="25">
        <v>29.5</v>
      </c>
      <c r="AJ61" s="25" t="s">
        <v>92</v>
      </c>
      <c r="AK61" s="25">
        <v>31</v>
      </c>
      <c r="AN61" s="25">
        <v>0</v>
      </c>
      <c r="AO61" s="26">
        <f>T61+AC61+AN61+AF61+X61</f>
        <v>3</v>
      </c>
    </row>
    <row r="62" spans="1:41" hidden="1">
      <c r="A62" s="25" t="s">
        <v>50</v>
      </c>
      <c r="B62" s="25" t="s">
        <v>82</v>
      </c>
      <c r="C62" s="25" t="s">
        <v>43</v>
      </c>
      <c r="D62" s="25" t="s">
        <v>93</v>
      </c>
      <c r="E62" s="25" t="str">
        <f>LEFT(Table1[[#This Row],[TeamID]],FIND("/",Table1[[#This Row],[TeamID]])-1)</f>
        <v>Mike A</v>
      </c>
      <c r="F62" s="26">
        <f>Table1[[#This Row],[TC-G1-AS]]+Table1[[#This Row],[TC-G2-AS]]+Table1[[#This Row],[TC-G3-AS]]+Table1[[#This Row],[TC-G4-AS]]+Table1[[#This Row],[TC-G5-AS]]</f>
        <v>0</v>
      </c>
      <c r="L62" s="25" t="str">
        <f>SUBSTITUTE(Table1[[#This Row],[TeamID]],Table1[[#This Row],[Team Captain]]&amp;"/","")</f>
        <v>Paul</v>
      </c>
      <c r="O62" s="25">
        <v>1</v>
      </c>
      <c r="R62" s="26">
        <f>Table1[[#This Row],[P-G1-AS]]+Table1[[#This Row],[P-G2-AS]]+Table1[[#This Row],[P-G3-AS]]+Table1[[#This Row],[P-G4-AS]]+Table1[[#This Row],[P-G5-AS]]</f>
        <v>1</v>
      </c>
      <c r="S62" s="25">
        <v>40.58</v>
      </c>
      <c r="T62" s="25">
        <v>0</v>
      </c>
      <c r="W62" s="25">
        <v>41.5</v>
      </c>
      <c r="X62" s="25">
        <v>0</v>
      </c>
      <c r="AA62" s="26">
        <f>(S62+W62)/2</f>
        <v>41.04</v>
      </c>
      <c r="AB62" s="25">
        <v>1.37</v>
      </c>
      <c r="AC62" s="25">
        <v>1</v>
      </c>
      <c r="AE62" s="25">
        <v>0.95</v>
      </c>
      <c r="AF62" s="25">
        <v>0</v>
      </c>
      <c r="AH62" s="26">
        <f>(AB62+AE62)/2</f>
        <v>1.1600000000000001</v>
      </c>
      <c r="AI62" s="25">
        <v>18.059999999999999</v>
      </c>
      <c r="AJ62" s="25" t="s">
        <v>94</v>
      </c>
      <c r="AK62" s="25">
        <v>44</v>
      </c>
      <c r="AL62" s="25" t="s">
        <v>57</v>
      </c>
      <c r="AM62" s="25">
        <v>3</v>
      </c>
      <c r="AN62" s="25">
        <v>1</v>
      </c>
      <c r="AO62" s="26">
        <f>T62+AC62+AN62+AF62+X62</f>
        <v>2</v>
      </c>
    </row>
    <row r="63" spans="1:41" hidden="1">
      <c r="A63" s="25" t="s">
        <v>50</v>
      </c>
      <c r="B63" s="25" t="s">
        <v>82</v>
      </c>
      <c r="C63" s="25" t="s">
        <v>45</v>
      </c>
      <c r="D63" s="25" t="s">
        <v>95</v>
      </c>
      <c r="E63" s="25" t="str">
        <f>LEFT(Table1[[#This Row],[TeamID]],FIND("/",Table1[[#This Row],[TeamID]])-1)</f>
        <v>Brian</v>
      </c>
      <c r="F63" s="26">
        <f>Table1[[#This Row],[TC-G1-AS]]+Table1[[#This Row],[TC-G2-AS]]+Table1[[#This Row],[TC-G3-AS]]+Table1[[#This Row],[TC-G4-AS]]+Table1[[#This Row],[TC-G5-AS]]</f>
        <v>2</v>
      </c>
      <c r="I63" s="25">
        <v>1</v>
      </c>
      <c r="J63" s="25">
        <v>1</v>
      </c>
      <c r="L63" s="25" t="str">
        <f>SUBSTITUTE(Table1[[#This Row],[TeamID]],Table1[[#This Row],[Team Captain]]&amp;"/","")</f>
        <v>Neil</v>
      </c>
      <c r="R63" s="26">
        <f>Table1[[#This Row],[P-G1-AS]]+Table1[[#This Row],[P-G2-AS]]+Table1[[#This Row],[P-G3-AS]]+Table1[[#This Row],[P-G4-AS]]+Table1[[#This Row],[P-G5-AS]]</f>
        <v>0</v>
      </c>
      <c r="S63" s="25">
        <v>39.549999999999997</v>
      </c>
      <c r="T63" s="25">
        <v>1</v>
      </c>
      <c r="U63" s="25" t="s">
        <v>96</v>
      </c>
      <c r="V63" s="25">
        <v>16</v>
      </c>
      <c r="W63" s="25">
        <v>44.21</v>
      </c>
      <c r="X63" s="25">
        <v>1</v>
      </c>
      <c r="Y63" s="25" t="s">
        <v>96</v>
      </c>
      <c r="Z63" s="25">
        <v>32</v>
      </c>
      <c r="AA63" s="26">
        <f>(S63+W63)/2</f>
        <v>41.879999999999995</v>
      </c>
      <c r="AB63" s="25">
        <v>1.21</v>
      </c>
      <c r="AC63" s="25">
        <v>0</v>
      </c>
      <c r="AE63" s="25">
        <v>1.18</v>
      </c>
      <c r="AF63" s="25">
        <v>1</v>
      </c>
      <c r="AH63" s="26">
        <f>(AB63+AE63)/2</f>
        <v>1.1949999999999998</v>
      </c>
      <c r="AI63" s="25">
        <v>17.350000000000001</v>
      </c>
      <c r="AJ63" s="25" t="s">
        <v>97</v>
      </c>
      <c r="AK63" s="25">
        <v>50</v>
      </c>
      <c r="AN63" s="25">
        <v>0</v>
      </c>
      <c r="AO63" s="26">
        <f>T63+AC63+AN63+AF63+X63</f>
        <v>3</v>
      </c>
    </row>
    <row r="64" spans="1:41" hidden="1">
      <c r="A64" s="25" t="s">
        <v>53</v>
      </c>
      <c r="B64" s="25" t="s">
        <v>82</v>
      </c>
      <c r="C64" s="25" t="s">
        <v>43</v>
      </c>
      <c r="D64" s="25" t="s">
        <v>98</v>
      </c>
      <c r="E64" s="25" t="str">
        <f>LEFT(Table1[[#This Row],[TeamID]],FIND("/",Table1[[#This Row],[TeamID]])-1)</f>
        <v>Jason</v>
      </c>
      <c r="F64" s="26">
        <f>Table1[[#This Row],[TC-G1-AS]]+Table1[[#This Row],[TC-G2-AS]]+Table1[[#This Row],[TC-G3-AS]]+Table1[[#This Row],[TC-G4-AS]]+Table1[[#This Row],[TC-G5-AS]]</f>
        <v>2</v>
      </c>
      <c r="J64" s="25">
        <v>2</v>
      </c>
      <c r="L64" s="25" t="str">
        <f>SUBSTITUTE(Table1[[#This Row],[TeamID]],Table1[[#This Row],[Team Captain]]&amp;"/","")</f>
        <v>Olver</v>
      </c>
      <c r="R64" s="26">
        <f>Table1[[#This Row],[P-G1-AS]]+Table1[[#This Row],[P-G2-AS]]+Table1[[#This Row],[P-G3-AS]]+Table1[[#This Row],[P-G4-AS]]+Table1[[#This Row],[P-G5-AS]]</f>
        <v>0</v>
      </c>
      <c r="S64" s="25">
        <v>33.78</v>
      </c>
      <c r="T64" s="25">
        <v>0</v>
      </c>
      <c r="W64" s="25">
        <v>35.36</v>
      </c>
      <c r="X64" s="25">
        <v>0</v>
      </c>
      <c r="AA64" s="26">
        <f>(S64+W64)/2</f>
        <v>34.57</v>
      </c>
      <c r="AB64" s="25">
        <v>0.78</v>
      </c>
      <c r="AC64" s="25">
        <v>0</v>
      </c>
      <c r="AE64" s="25">
        <v>1.45</v>
      </c>
      <c r="AF64" s="25">
        <v>0</v>
      </c>
      <c r="AH64" s="26">
        <f>(AB64+AE64)/2</f>
        <v>1.115</v>
      </c>
      <c r="AI64" s="25">
        <v>19.93</v>
      </c>
      <c r="AJ64" s="25" t="s">
        <v>99</v>
      </c>
      <c r="AK64" s="25">
        <v>52</v>
      </c>
      <c r="AN64" s="25">
        <v>0</v>
      </c>
      <c r="AO64" s="26">
        <f>T64+AC64+AN64+AF64+X64</f>
        <v>0</v>
      </c>
    </row>
    <row r="65" spans="1:41" hidden="1">
      <c r="A65" s="25" t="s">
        <v>53</v>
      </c>
      <c r="B65" s="25" t="s">
        <v>82</v>
      </c>
      <c r="C65" s="25" t="s">
        <v>45</v>
      </c>
      <c r="D65" s="25" t="s">
        <v>100</v>
      </c>
      <c r="E65" s="25" t="str">
        <f>LEFT(Table1[[#This Row],[TeamID]],FIND("/",Table1[[#This Row],[TeamID]])-1)</f>
        <v>Kevin</v>
      </c>
      <c r="F65" s="26">
        <f>Table1[[#This Row],[TC-G1-AS]]+Table1[[#This Row],[TC-G2-AS]]+Table1[[#This Row],[TC-G3-AS]]+Table1[[#This Row],[TC-G4-AS]]+Table1[[#This Row],[TC-G5-AS]]</f>
        <v>2</v>
      </c>
      <c r="G65" s="25">
        <v>1</v>
      </c>
      <c r="H65" s="25">
        <v>1</v>
      </c>
      <c r="L65" s="25" t="str">
        <f>SUBSTITUTE(Table1[[#This Row],[TeamID]],Table1[[#This Row],[Team Captain]]&amp;"/","")</f>
        <v>Tony</v>
      </c>
      <c r="N65" s="25">
        <v>1</v>
      </c>
      <c r="R65" s="26">
        <f>Table1[[#This Row],[P-G1-AS]]+Table1[[#This Row],[P-G2-AS]]+Table1[[#This Row],[P-G3-AS]]+Table1[[#This Row],[P-G4-AS]]+Table1[[#This Row],[P-G5-AS]]</f>
        <v>1</v>
      </c>
      <c r="S65" s="25">
        <v>50.01</v>
      </c>
      <c r="T65" s="25">
        <v>1</v>
      </c>
      <c r="U65" s="25" t="s">
        <v>101</v>
      </c>
      <c r="V65" s="25">
        <v>72</v>
      </c>
      <c r="W65" s="25">
        <v>35.79</v>
      </c>
      <c r="X65" s="25">
        <v>1</v>
      </c>
      <c r="Y65" s="25" t="s">
        <v>55</v>
      </c>
      <c r="Z65" s="25">
        <v>32</v>
      </c>
      <c r="AA65" s="26">
        <f>(S65+W65)/2</f>
        <v>42.9</v>
      </c>
      <c r="AB65" s="25">
        <v>1.26</v>
      </c>
      <c r="AC65" s="25">
        <v>1</v>
      </c>
      <c r="AE65" s="25">
        <v>1.33</v>
      </c>
      <c r="AF65" s="25">
        <v>1</v>
      </c>
      <c r="AH65" s="26">
        <f>(AB65+AE65)/2</f>
        <v>1.2949999999999999</v>
      </c>
      <c r="AI65" s="25">
        <v>20.07</v>
      </c>
      <c r="AJ65" s="25" t="s">
        <v>55</v>
      </c>
      <c r="AK65" s="25">
        <v>32</v>
      </c>
      <c r="AL65" s="25" t="s">
        <v>55</v>
      </c>
      <c r="AM65" s="25">
        <v>8</v>
      </c>
      <c r="AN65" s="25">
        <v>1</v>
      </c>
      <c r="AO65" s="26">
        <f>T65+AC65+AN65+AF65+X65</f>
        <v>5</v>
      </c>
    </row>
    <row r="66" spans="1:41" hidden="1">
      <c r="A66" s="25" t="s">
        <v>58</v>
      </c>
      <c r="B66" s="25" t="s">
        <v>82</v>
      </c>
      <c r="C66" s="25" t="s">
        <v>43</v>
      </c>
      <c r="D66" s="25" t="s">
        <v>100</v>
      </c>
      <c r="E66" s="25" t="str">
        <f>LEFT(Table1[[#This Row],[TeamID]],FIND("/",Table1[[#This Row],[TeamID]])-1)</f>
        <v>Kevin</v>
      </c>
      <c r="F66" s="26">
        <f>Table1[[#This Row],[TC-G1-AS]]+Table1[[#This Row],[TC-G2-AS]]+Table1[[#This Row],[TC-G3-AS]]+Table1[[#This Row],[TC-G4-AS]]+Table1[[#This Row],[TC-G5-AS]]</f>
        <v>2</v>
      </c>
      <c r="I66" s="25">
        <v>1</v>
      </c>
      <c r="K66" s="25">
        <v>1</v>
      </c>
      <c r="L66" s="25" t="str">
        <f>SUBSTITUTE(Table1[[#This Row],[TeamID]],Table1[[#This Row],[Team Captain]]&amp;"/","")</f>
        <v>Tony</v>
      </c>
      <c r="M66" s="25">
        <v>1</v>
      </c>
      <c r="R66" s="26">
        <f>Table1[[#This Row],[P-G1-AS]]+Table1[[#This Row],[P-G2-AS]]+Table1[[#This Row],[P-G3-AS]]+Table1[[#This Row],[P-G4-AS]]+Table1[[#This Row],[P-G5-AS]]</f>
        <v>1</v>
      </c>
      <c r="S66" s="25">
        <v>35.07</v>
      </c>
      <c r="T66" s="25">
        <v>0</v>
      </c>
      <c r="W66" s="25">
        <v>25.91</v>
      </c>
      <c r="X66" s="25">
        <v>1</v>
      </c>
      <c r="Y66" s="25" t="s">
        <v>55</v>
      </c>
      <c r="Z66" s="25">
        <v>8</v>
      </c>
      <c r="AA66" s="26">
        <f>(S66+W66)/2</f>
        <v>30.490000000000002</v>
      </c>
      <c r="AB66" s="25">
        <v>1.4</v>
      </c>
      <c r="AC66" s="25">
        <v>0</v>
      </c>
      <c r="AE66" s="25">
        <v>1.05</v>
      </c>
      <c r="AF66" s="25">
        <v>0</v>
      </c>
      <c r="AH66" s="26">
        <f>(AB66+AE66)/2</f>
        <v>1.2250000000000001</v>
      </c>
      <c r="AI66" s="25">
        <v>64.5</v>
      </c>
      <c r="AJ66" s="25" t="s">
        <v>55</v>
      </c>
      <c r="AK66" s="25">
        <v>54</v>
      </c>
      <c r="AL66" s="25" t="s">
        <v>55</v>
      </c>
      <c r="AM66" s="25">
        <v>48</v>
      </c>
      <c r="AN66" s="25">
        <v>1</v>
      </c>
      <c r="AO66" s="26">
        <f>T66+AC66+AN66+AF66+X66</f>
        <v>2</v>
      </c>
    </row>
    <row r="67" spans="1:41" hidden="1">
      <c r="A67" s="25" t="s">
        <v>58</v>
      </c>
      <c r="B67" s="25" t="s">
        <v>82</v>
      </c>
      <c r="C67" s="25" t="s">
        <v>45</v>
      </c>
      <c r="D67" s="25" t="s">
        <v>95</v>
      </c>
      <c r="E67" s="25" t="str">
        <f>LEFT(Table1[[#This Row],[TeamID]],FIND("/",Table1[[#This Row],[TeamID]])-1)</f>
        <v>Brian</v>
      </c>
      <c r="F67" s="26">
        <f>Table1[[#This Row],[TC-G1-AS]]+Table1[[#This Row],[TC-G2-AS]]+Table1[[#This Row],[TC-G3-AS]]+Table1[[#This Row],[TC-G4-AS]]+Table1[[#This Row],[TC-G5-AS]]</f>
        <v>1</v>
      </c>
      <c r="J67" s="25">
        <v>1</v>
      </c>
      <c r="L67" s="25" t="str">
        <f>SUBSTITUTE(Table1[[#This Row],[TeamID]],Table1[[#This Row],[Team Captain]]&amp;"/","")</f>
        <v>Neil</v>
      </c>
      <c r="R67" s="26">
        <f>Table1[[#This Row],[P-G1-AS]]+Table1[[#This Row],[P-G2-AS]]+Table1[[#This Row],[P-G3-AS]]+Table1[[#This Row],[P-G4-AS]]+Table1[[#This Row],[P-G5-AS]]</f>
        <v>0</v>
      </c>
      <c r="S67" s="25">
        <v>33.4</v>
      </c>
      <c r="T67" s="25">
        <v>1</v>
      </c>
      <c r="U67" s="25" t="s">
        <v>96</v>
      </c>
      <c r="V67" s="25">
        <v>32</v>
      </c>
      <c r="W67" s="25">
        <v>25.84</v>
      </c>
      <c r="AA67" s="26">
        <f>(S67+W67)/2</f>
        <v>29.619999999999997</v>
      </c>
      <c r="AB67" s="25">
        <v>1.44</v>
      </c>
      <c r="AC67" s="25">
        <v>1</v>
      </c>
      <c r="AE67" s="25">
        <v>1.1000000000000001</v>
      </c>
      <c r="AF67" s="25">
        <v>1</v>
      </c>
      <c r="AH67" s="26">
        <f>(AB67+AE67)/2</f>
        <v>1.27</v>
      </c>
      <c r="AI67" s="25">
        <v>25.8</v>
      </c>
      <c r="AJ67" s="25" t="s">
        <v>96</v>
      </c>
      <c r="AK67" s="25">
        <v>34</v>
      </c>
      <c r="AO67" s="26">
        <f>T67+AC67+AN67+AF67+X67</f>
        <v>3</v>
      </c>
    </row>
    <row r="68" spans="1:41" hidden="1">
      <c r="A68" s="25" t="s">
        <v>59</v>
      </c>
      <c r="B68" s="25" t="s">
        <v>82</v>
      </c>
      <c r="C68" s="25" t="s">
        <v>43</v>
      </c>
      <c r="D68" s="25" t="s">
        <v>88</v>
      </c>
      <c r="E68" s="25" t="str">
        <f>LEFT(Table1[[#This Row],[TeamID]],FIND("/",Table1[[#This Row],[TeamID]])-1)</f>
        <v>Daniel</v>
      </c>
      <c r="F68" s="26">
        <f>Table1[[#This Row],[TC-G1-AS]]+Table1[[#This Row],[TC-G2-AS]]+Table1[[#This Row],[TC-G3-AS]]+Table1[[#This Row],[TC-G4-AS]]+Table1[[#This Row],[TC-G5-AS]]</f>
        <v>1</v>
      </c>
      <c r="H68" s="25">
        <v>1</v>
      </c>
      <c r="L68" s="25" t="str">
        <f>SUBSTITUTE(Table1[[#This Row],[TeamID]],Table1[[#This Row],[Team Captain]]&amp;"/","")</f>
        <v>Matt</v>
      </c>
      <c r="R68" s="26">
        <f>Table1[[#This Row],[P-G1-AS]]+Table1[[#This Row],[P-G2-AS]]+Table1[[#This Row],[P-G3-AS]]+Table1[[#This Row],[P-G4-AS]]+Table1[[#This Row],[P-G5-AS]]</f>
        <v>0</v>
      </c>
      <c r="S68" s="25">
        <v>33.4</v>
      </c>
      <c r="T68" s="25">
        <v>1</v>
      </c>
      <c r="U68" s="25" t="s">
        <v>89</v>
      </c>
      <c r="V68" s="25">
        <v>33</v>
      </c>
      <c r="W68" s="25">
        <v>37.57</v>
      </c>
      <c r="X68" s="25">
        <v>1</v>
      </c>
      <c r="Y68" s="25" t="s">
        <v>89</v>
      </c>
      <c r="Z68" s="25">
        <v>20</v>
      </c>
      <c r="AA68" s="26">
        <f>(S68+W68)/2</f>
        <v>35.484999999999999</v>
      </c>
      <c r="AB68" s="25">
        <v>1.57</v>
      </c>
      <c r="AC68" s="25">
        <v>1</v>
      </c>
      <c r="AE68" s="25">
        <v>1.62</v>
      </c>
      <c r="AF68" s="25">
        <v>1</v>
      </c>
      <c r="AH68" s="26">
        <f>(AB68+AE68)/2</f>
        <v>1.5950000000000002</v>
      </c>
      <c r="AI68" s="25">
        <v>30.1</v>
      </c>
      <c r="AJ68" s="25" t="s">
        <v>89</v>
      </c>
      <c r="AK68" s="25">
        <v>70</v>
      </c>
      <c r="AL68" s="25" t="s">
        <v>89</v>
      </c>
      <c r="AM68" s="25">
        <v>68</v>
      </c>
      <c r="AN68" s="25">
        <v>1</v>
      </c>
      <c r="AO68" s="26">
        <f>T68+AC68+AN68+AF68+X68</f>
        <v>5</v>
      </c>
    </row>
    <row r="69" spans="1:41" hidden="1">
      <c r="A69" s="25" t="s">
        <v>59</v>
      </c>
      <c r="B69" s="25" t="s">
        <v>82</v>
      </c>
      <c r="C69" s="25" t="s">
        <v>45</v>
      </c>
      <c r="D69" s="25" t="s">
        <v>83</v>
      </c>
      <c r="E69" s="25" t="str">
        <f>LEFT(Table1[[#This Row],[TeamID]],FIND("/",Table1[[#This Row],[TeamID]])-1)</f>
        <v>Mark</v>
      </c>
      <c r="F69" s="26">
        <f>Table1[[#This Row],[TC-G1-AS]]+Table1[[#This Row],[TC-G2-AS]]+Table1[[#This Row],[TC-G3-AS]]+Table1[[#This Row],[TC-G4-AS]]+Table1[[#This Row],[TC-G5-AS]]</f>
        <v>1</v>
      </c>
      <c r="J69" s="25">
        <v>1</v>
      </c>
      <c r="L69" s="25" t="str">
        <f>SUBSTITUTE(Table1[[#This Row],[TeamID]],Table1[[#This Row],[Team Captain]]&amp;"/","")</f>
        <v>Mike C</v>
      </c>
      <c r="R69" s="26">
        <f>Table1[[#This Row],[P-G1-AS]]+Table1[[#This Row],[P-G2-AS]]+Table1[[#This Row],[P-G3-AS]]+Table1[[#This Row],[P-G4-AS]]+Table1[[#This Row],[P-G5-AS]]</f>
        <v>0</v>
      </c>
      <c r="S69" s="25">
        <v>34.64</v>
      </c>
      <c r="T69" s="25">
        <v>0</v>
      </c>
      <c r="W69" s="25">
        <v>32.25</v>
      </c>
      <c r="X69" s="25">
        <v>0</v>
      </c>
      <c r="AA69" s="26">
        <f>(S69+W69)/2</f>
        <v>33.445</v>
      </c>
      <c r="AB69" s="25">
        <v>1.1399999999999999</v>
      </c>
      <c r="AC69" s="25">
        <v>0</v>
      </c>
      <c r="AE69" s="25">
        <v>1.4</v>
      </c>
      <c r="AF69" s="25">
        <v>0</v>
      </c>
      <c r="AH69" s="26">
        <f>(AB69+AE69)/2</f>
        <v>1.27</v>
      </c>
      <c r="AI69" s="25">
        <v>29.56</v>
      </c>
      <c r="AJ69" s="25" t="s">
        <v>102</v>
      </c>
      <c r="AK69" s="25">
        <v>42</v>
      </c>
      <c r="AN69" s="25">
        <v>0</v>
      </c>
      <c r="AO69" s="26">
        <f>T69+AC69+AN69+AF69+X69</f>
        <v>0</v>
      </c>
    </row>
    <row r="70" spans="1:41" hidden="1">
      <c r="A70" s="25" t="s">
        <v>60</v>
      </c>
      <c r="B70" s="25" t="s">
        <v>82</v>
      </c>
      <c r="C70" s="25" t="s">
        <v>43</v>
      </c>
      <c r="D70" s="25" t="s">
        <v>90</v>
      </c>
      <c r="E70" s="25" t="str">
        <f>LEFT(Table1[[#This Row],[TeamID]],FIND("/",Table1[[#This Row],[TeamID]])-1)</f>
        <v>Todd</v>
      </c>
      <c r="F70" s="26">
        <f>Table1[[#This Row],[TC-G1-AS]]+Table1[[#This Row],[TC-G2-AS]]+Table1[[#This Row],[TC-G3-AS]]+Table1[[#This Row],[TC-G4-AS]]+Table1[[#This Row],[TC-G5-AS]]</f>
        <v>1</v>
      </c>
      <c r="I70" s="25">
        <v>1</v>
      </c>
      <c r="L70" s="25" t="str">
        <f>SUBSTITUTE(Table1[[#This Row],[TeamID]],Table1[[#This Row],[Team Captain]]&amp;"/","")</f>
        <v>Mike H</v>
      </c>
      <c r="R70" s="26">
        <f>Table1[[#This Row],[P-G1-AS]]+Table1[[#This Row],[P-G2-AS]]+Table1[[#This Row],[P-G3-AS]]+Table1[[#This Row],[P-G4-AS]]+Table1[[#This Row],[P-G5-AS]]</f>
        <v>0</v>
      </c>
      <c r="S70" s="25">
        <v>33</v>
      </c>
      <c r="T70" s="25">
        <v>0</v>
      </c>
      <c r="W70" s="25">
        <v>29</v>
      </c>
      <c r="X70" s="25">
        <v>0</v>
      </c>
      <c r="AA70" s="26">
        <f>(S70+W70)/2</f>
        <v>31</v>
      </c>
      <c r="AB70" s="25">
        <v>1.33</v>
      </c>
      <c r="AC70" s="25">
        <v>1</v>
      </c>
      <c r="AE70" s="25">
        <v>1.45</v>
      </c>
      <c r="AF70" s="25">
        <v>1</v>
      </c>
      <c r="AH70" s="26">
        <f>(AB70+AE70)/2</f>
        <v>1.3900000000000001</v>
      </c>
      <c r="AI70" s="25">
        <v>28.22</v>
      </c>
      <c r="AJ70" s="25" t="s">
        <v>92</v>
      </c>
      <c r="AK70" s="25">
        <v>22</v>
      </c>
      <c r="AL70" s="25" t="s">
        <v>91</v>
      </c>
      <c r="AM70" s="25">
        <v>8</v>
      </c>
      <c r="AN70" s="25">
        <v>1</v>
      </c>
      <c r="AO70" s="26">
        <f>T70+AC70+AN70+AF70+X70</f>
        <v>3</v>
      </c>
    </row>
    <row r="71" spans="1:41" hidden="1">
      <c r="A71" s="25" t="s">
        <v>60</v>
      </c>
      <c r="B71" s="25" t="s">
        <v>82</v>
      </c>
      <c r="C71" s="25" t="s">
        <v>45</v>
      </c>
      <c r="D71" s="25" t="s">
        <v>85</v>
      </c>
      <c r="E71" s="25" t="str">
        <f>LEFT(Table1[[#This Row],[TeamID]],FIND("/",Table1[[#This Row],[TeamID]])-1)</f>
        <v>Tayven</v>
      </c>
      <c r="F71" s="26">
        <f>Table1[[#This Row],[TC-G1-AS]]+Table1[[#This Row],[TC-G2-AS]]+Table1[[#This Row],[TC-G3-AS]]+Table1[[#This Row],[TC-G4-AS]]+Table1[[#This Row],[TC-G5-AS]]</f>
        <v>4</v>
      </c>
      <c r="G71" s="25">
        <v>1</v>
      </c>
      <c r="I71" s="25">
        <v>1</v>
      </c>
      <c r="K71" s="25">
        <v>2</v>
      </c>
      <c r="L71" s="25" t="str">
        <f>SUBSTITUTE(Table1[[#This Row],[TeamID]],Table1[[#This Row],[Team Captain]]&amp;"/","")</f>
        <v>Clarence</v>
      </c>
      <c r="R71" s="26">
        <f>Table1[[#This Row],[P-G1-AS]]+Table1[[#This Row],[P-G2-AS]]+Table1[[#This Row],[P-G3-AS]]+Table1[[#This Row],[P-G4-AS]]+Table1[[#This Row],[P-G5-AS]]</f>
        <v>0</v>
      </c>
      <c r="S71" s="25">
        <v>36.659999999999997</v>
      </c>
      <c r="T71" s="25">
        <v>1</v>
      </c>
      <c r="U71" s="25" t="s">
        <v>86</v>
      </c>
      <c r="V71" s="25">
        <v>4</v>
      </c>
      <c r="W71" s="25">
        <v>33.4</v>
      </c>
      <c r="X71" s="25">
        <v>1</v>
      </c>
      <c r="Y71" s="25" t="s">
        <v>86</v>
      </c>
      <c r="Z71" s="25">
        <v>2</v>
      </c>
      <c r="AA71" s="26">
        <f>(S71+W71)/2</f>
        <v>35.03</v>
      </c>
      <c r="AB71" s="25">
        <v>1.3</v>
      </c>
      <c r="AC71" s="25">
        <v>0</v>
      </c>
      <c r="AE71" s="25">
        <v>1.35</v>
      </c>
      <c r="AF71" s="25">
        <v>0</v>
      </c>
      <c r="AH71" s="26">
        <f>(AB71+AE71)/2</f>
        <v>1.3250000000000002</v>
      </c>
      <c r="AI71" s="25">
        <v>27.2</v>
      </c>
      <c r="AJ71" s="25" t="s">
        <v>86</v>
      </c>
      <c r="AK71" s="25">
        <v>108</v>
      </c>
      <c r="AN71" s="25">
        <v>0</v>
      </c>
      <c r="AO71" s="26">
        <f>T71+AC71+AN71+AF71+X71</f>
        <v>2</v>
      </c>
    </row>
    <row r="72" spans="1:41" hidden="1">
      <c r="A72" s="25" t="s">
        <v>61</v>
      </c>
      <c r="B72" s="25" t="s">
        <v>82</v>
      </c>
      <c r="C72" s="25" t="s">
        <v>43</v>
      </c>
      <c r="D72" s="25" t="s">
        <v>98</v>
      </c>
      <c r="E72" s="25" t="str">
        <f>LEFT(Table1[[#This Row],[TeamID]],FIND("/",Table1[[#This Row],[TeamID]])-1)</f>
        <v>Jason</v>
      </c>
      <c r="F72" s="26">
        <f>Table1[[#This Row],[TC-G1-AS]]+Table1[[#This Row],[TC-G2-AS]]+Table1[[#This Row],[TC-G3-AS]]+Table1[[#This Row],[TC-G4-AS]]+Table1[[#This Row],[TC-G5-AS]]</f>
        <v>1</v>
      </c>
      <c r="I72" s="25">
        <v>1</v>
      </c>
      <c r="L72" s="25" t="str">
        <f>SUBSTITUTE(Table1[[#This Row],[TeamID]],Table1[[#This Row],[Team Captain]]&amp;"/","")</f>
        <v>Olver</v>
      </c>
      <c r="N72" s="25">
        <v>1</v>
      </c>
      <c r="R72" s="26">
        <f>Table1[[#This Row],[P-G1-AS]]+Table1[[#This Row],[P-G2-AS]]+Table1[[#This Row],[P-G3-AS]]+Table1[[#This Row],[P-G4-AS]]+Table1[[#This Row],[P-G5-AS]]</f>
        <v>1</v>
      </c>
      <c r="S72" s="25">
        <v>17.48</v>
      </c>
      <c r="T72" s="25">
        <v>1</v>
      </c>
      <c r="U72" s="25" t="s">
        <v>99</v>
      </c>
      <c r="V72" s="25">
        <v>2</v>
      </c>
      <c r="W72" s="25">
        <v>34.950000000000003</v>
      </c>
      <c r="X72" s="25">
        <v>1</v>
      </c>
      <c r="Y72" s="25" t="s">
        <v>103</v>
      </c>
      <c r="Z72" s="25">
        <v>20</v>
      </c>
      <c r="AA72" s="26">
        <f>(S72+W72)/2</f>
        <v>26.215000000000003</v>
      </c>
      <c r="AB72" s="25">
        <v>0.78</v>
      </c>
      <c r="AC72" s="25">
        <v>0</v>
      </c>
      <c r="AE72" s="25">
        <v>0.87</v>
      </c>
      <c r="AF72" s="25">
        <v>0</v>
      </c>
      <c r="AH72" s="26">
        <f>(AB72+AE72)/2</f>
        <v>0.82499999999999996</v>
      </c>
      <c r="AI72" s="25">
        <v>39.26</v>
      </c>
      <c r="AJ72" s="25" t="s">
        <v>99</v>
      </c>
      <c r="AK72" s="25">
        <v>32</v>
      </c>
      <c r="AL72" s="25" t="s">
        <v>103</v>
      </c>
      <c r="AM72" s="25">
        <v>20</v>
      </c>
      <c r="AN72" s="25">
        <v>1</v>
      </c>
      <c r="AO72" s="26">
        <f>T72+AC72+AN72+AF72+X72</f>
        <v>3</v>
      </c>
    </row>
    <row r="73" spans="1:41" hidden="1">
      <c r="A73" s="25" t="s">
        <v>61</v>
      </c>
      <c r="B73" s="25" t="s">
        <v>82</v>
      </c>
      <c r="C73" s="25" t="s">
        <v>45</v>
      </c>
      <c r="D73" s="25" t="s">
        <v>93</v>
      </c>
      <c r="E73" s="25" t="str">
        <f>LEFT(Table1[[#This Row],[TeamID]],FIND("/",Table1[[#This Row],[TeamID]])-1)</f>
        <v>Mike A</v>
      </c>
      <c r="F73" s="26">
        <f>Table1[[#This Row],[TC-G1-AS]]+Table1[[#This Row],[TC-G2-AS]]+Table1[[#This Row],[TC-G3-AS]]+Table1[[#This Row],[TC-G4-AS]]+Table1[[#This Row],[TC-G5-AS]]</f>
        <v>0</v>
      </c>
      <c r="L73" s="25" t="str">
        <f>SUBSTITUTE(Table1[[#This Row],[TeamID]],Table1[[#This Row],[Team Captain]]&amp;"/","")</f>
        <v>Paul</v>
      </c>
      <c r="R73" s="26">
        <f>Table1[[#This Row],[P-G1-AS]]+Table1[[#This Row],[P-G2-AS]]+Table1[[#This Row],[P-G3-AS]]+Table1[[#This Row],[P-G4-AS]]+Table1[[#This Row],[P-G5-AS]]</f>
        <v>0</v>
      </c>
      <c r="S73" s="25">
        <v>17.82</v>
      </c>
      <c r="T73" s="25">
        <v>0</v>
      </c>
      <c r="W73" s="25">
        <v>32.869999999999997</v>
      </c>
      <c r="X73" s="25">
        <v>0</v>
      </c>
      <c r="AA73" s="26">
        <f>(S73+W73)/2</f>
        <v>25.344999999999999</v>
      </c>
      <c r="AB73" s="25">
        <v>1.3</v>
      </c>
      <c r="AC73" s="25">
        <v>1</v>
      </c>
      <c r="AE73" s="25">
        <v>1.29</v>
      </c>
      <c r="AF73" s="25">
        <v>1</v>
      </c>
      <c r="AH73" s="26">
        <f>(AB73+AE73)/2</f>
        <v>1.2949999999999999</v>
      </c>
      <c r="AI73" s="25">
        <v>34.880000000000003</v>
      </c>
      <c r="AJ73" s="25" t="s">
        <v>57</v>
      </c>
      <c r="AK73" s="25">
        <v>45</v>
      </c>
      <c r="AN73" s="25">
        <v>0</v>
      </c>
      <c r="AO73" s="26">
        <f>T73+AC73+AN73+AF73+X73</f>
        <v>2</v>
      </c>
    </row>
    <row r="74" spans="1:41" hidden="1">
      <c r="A74" s="25" t="s">
        <v>62</v>
      </c>
      <c r="B74" s="25" t="s">
        <v>82</v>
      </c>
      <c r="C74" s="25" t="s">
        <v>43</v>
      </c>
      <c r="D74" s="25" t="s">
        <v>83</v>
      </c>
      <c r="E74" s="25" t="str">
        <f>LEFT(Table1[[#This Row],[TeamID]],FIND("/",Table1[[#This Row],[TeamID]])-1)</f>
        <v>Mark</v>
      </c>
      <c r="F74" s="26">
        <f>Table1[[#This Row],[TC-G1-AS]]+Table1[[#This Row],[TC-G2-AS]]+Table1[[#This Row],[TC-G3-AS]]+Table1[[#This Row],[TC-G4-AS]]+Table1[[#This Row],[TC-G5-AS]]</f>
        <v>0</v>
      </c>
      <c r="L74" s="25" t="str">
        <f>SUBSTITUTE(Table1[[#This Row],[TeamID]],Table1[[#This Row],[Team Captain]]&amp;"/","")</f>
        <v>Mike C</v>
      </c>
      <c r="Q74" s="25">
        <v>1</v>
      </c>
      <c r="R74" s="26">
        <f>Table1[[#This Row],[P-G1-AS]]+Table1[[#This Row],[P-G2-AS]]+Table1[[#This Row],[P-G3-AS]]+Table1[[#This Row],[P-G4-AS]]+Table1[[#This Row],[P-G5-AS]]</f>
        <v>1</v>
      </c>
      <c r="S74" s="25">
        <v>13.42</v>
      </c>
      <c r="T74" s="25">
        <v>1</v>
      </c>
      <c r="U74" s="25" t="s">
        <v>84</v>
      </c>
      <c r="V74" s="25">
        <v>3</v>
      </c>
      <c r="W74" s="25">
        <v>37.57</v>
      </c>
      <c r="X74" s="25">
        <v>1</v>
      </c>
      <c r="Y74" s="25" t="s">
        <v>102</v>
      </c>
      <c r="Z74" s="25">
        <v>3</v>
      </c>
      <c r="AA74" s="26">
        <f>(S74+W74)/2</f>
        <v>25.495000000000001</v>
      </c>
      <c r="AB74" s="25">
        <v>0.96</v>
      </c>
      <c r="AC74" s="25">
        <v>1</v>
      </c>
      <c r="AE74" s="25">
        <v>1.5</v>
      </c>
      <c r="AF74" s="25">
        <v>0</v>
      </c>
      <c r="AH74" s="26">
        <f>(AB74+AE74)/2</f>
        <v>1.23</v>
      </c>
      <c r="AI74" s="25">
        <v>24.08</v>
      </c>
      <c r="AJ74" s="25" t="s">
        <v>102</v>
      </c>
      <c r="AK74" s="25">
        <v>19</v>
      </c>
      <c r="AN74" s="25">
        <v>0</v>
      </c>
      <c r="AO74" s="26">
        <f>T74+AC74+AN74+AF74+X74</f>
        <v>3</v>
      </c>
    </row>
    <row r="75" spans="1:41" hidden="1">
      <c r="A75" s="25" t="s">
        <v>62</v>
      </c>
      <c r="B75" s="25" t="s">
        <v>82</v>
      </c>
      <c r="C75" s="25" t="s">
        <v>45</v>
      </c>
      <c r="D75" s="25" t="s">
        <v>93</v>
      </c>
      <c r="E75" s="25" t="str">
        <f>LEFT(Table1[[#This Row],[TeamID]],FIND("/",Table1[[#This Row],[TeamID]])-1)</f>
        <v>Mike A</v>
      </c>
      <c r="F75" s="26">
        <f>Table1[[#This Row],[TC-G1-AS]]+Table1[[#This Row],[TC-G2-AS]]+Table1[[#This Row],[TC-G3-AS]]+Table1[[#This Row],[TC-G4-AS]]+Table1[[#This Row],[TC-G5-AS]]</f>
        <v>2</v>
      </c>
      <c r="G75" s="25">
        <v>1</v>
      </c>
      <c r="K75" s="25">
        <v>1</v>
      </c>
      <c r="L75" s="25" t="str">
        <f>SUBSTITUTE(Table1[[#This Row],[TeamID]],Table1[[#This Row],[Team Captain]]&amp;"/","")</f>
        <v>Paul</v>
      </c>
      <c r="R75" s="26">
        <f>Table1[[#This Row],[P-G1-AS]]+Table1[[#This Row],[P-G2-AS]]+Table1[[#This Row],[P-G3-AS]]+Table1[[#This Row],[P-G4-AS]]+Table1[[#This Row],[P-G5-AS]]</f>
        <v>0</v>
      </c>
      <c r="S75" s="25">
        <v>13.13</v>
      </c>
      <c r="T75" s="25">
        <v>0</v>
      </c>
      <c r="W75" s="25">
        <v>35.770000000000003</v>
      </c>
      <c r="X75" s="25">
        <v>0</v>
      </c>
      <c r="AA75" s="26">
        <f>(S75+W75)/2</f>
        <v>24.450000000000003</v>
      </c>
      <c r="AB75" s="25">
        <v>0.96</v>
      </c>
      <c r="AC75" s="25">
        <v>0</v>
      </c>
      <c r="AE75" s="25">
        <v>2</v>
      </c>
      <c r="AF75" s="25">
        <v>1</v>
      </c>
      <c r="AH75" s="26">
        <f>(AB75+AE75)/2</f>
        <v>1.48</v>
      </c>
      <c r="AI75" s="25">
        <v>23.76</v>
      </c>
      <c r="AJ75" s="25" t="s">
        <v>57</v>
      </c>
      <c r="AK75" s="25">
        <v>46</v>
      </c>
      <c r="AL75" s="25" t="s">
        <v>57</v>
      </c>
      <c r="AM75" s="25">
        <v>4</v>
      </c>
      <c r="AN75" s="25">
        <v>1</v>
      </c>
      <c r="AO75" s="26">
        <f>T75+AC75+AN75+AF75+X75</f>
        <v>2</v>
      </c>
    </row>
    <row r="76" spans="1:41" hidden="1">
      <c r="A76" s="25" t="s">
        <v>63</v>
      </c>
      <c r="B76" s="25" t="s">
        <v>82</v>
      </c>
      <c r="C76" s="25" t="s">
        <v>43</v>
      </c>
      <c r="D76" s="25" t="s">
        <v>98</v>
      </c>
      <c r="E76" s="25" t="str">
        <f>LEFT(Table1[[#This Row],[TeamID]],FIND("/",Table1[[#This Row],[TeamID]])-1)</f>
        <v>Jason</v>
      </c>
      <c r="F76" s="26">
        <f>Table1[[#This Row],[TC-G1-AS]]+Table1[[#This Row],[TC-G2-AS]]+Table1[[#This Row],[TC-G3-AS]]+Table1[[#This Row],[TC-G4-AS]]+Table1[[#This Row],[TC-G5-AS]]</f>
        <v>1</v>
      </c>
      <c r="H76" s="25">
        <v>1</v>
      </c>
      <c r="L76" s="25" t="str">
        <f>SUBSTITUTE(Table1[[#This Row],[TeamID]],Table1[[#This Row],[Team Captain]]&amp;"/","")</f>
        <v>Olver</v>
      </c>
      <c r="R76" s="26">
        <f>Table1[[#This Row],[P-G1-AS]]+Table1[[#This Row],[P-G2-AS]]+Table1[[#This Row],[P-G3-AS]]+Table1[[#This Row],[P-G4-AS]]+Table1[[#This Row],[P-G5-AS]]</f>
        <v>0</v>
      </c>
      <c r="S76" s="25">
        <v>31.31</v>
      </c>
      <c r="T76" s="25">
        <v>0</v>
      </c>
      <c r="W76" s="25">
        <v>47.5</v>
      </c>
      <c r="X76" s="25">
        <v>0</v>
      </c>
      <c r="AA76" s="26">
        <f>(S76+W76)/2</f>
        <v>39.405000000000001</v>
      </c>
      <c r="AB76" s="25">
        <v>1.3</v>
      </c>
      <c r="AC76" s="25">
        <v>0</v>
      </c>
      <c r="AE76" s="25">
        <v>1.06</v>
      </c>
      <c r="AF76" s="25">
        <v>0</v>
      </c>
      <c r="AH76" s="26">
        <f>(AB76+AE76)/2</f>
        <v>1.1800000000000002</v>
      </c>
      <c r="AI76" s="25">
        <v>18.96</v>
      </c>
      <c r="AJ76" s="25" t="s">
        <v>99</v>
      </c>
      <c r="AK76" s="25">
        <v>56</v>
      </c>
      <c r="AL76" s="25" t="s">
        <v>103</v>
      </c>
      <c r="AM76" s="25">
        <v>4</v>
      </c>
      <c r="AN76" s="25">
        <v>1</v>
      </c>
      <c r="AO76" s="26">
        <f>T76+AC76+AN76+AF76+X76</f>
        <v>1</v>
      </c>
    </row>
    <row r="77" spans="1:41" hidden="1">
      <c r="A77" s="25" t="s">
        <v>63</v>
      </c>
      <c r="B77" s="25" t="s">
        <v>82</v>
      </c>
      <c r="C77" s="25" t="s">
        <v>45</v>
      </c>
      <c r="D77" s="25" t="s">
        <v>85</v>
      </c>
      <c r="E77" s="25" t="str">
        <f>LEFT(Table1[[#This Row],[TeamID]],FIND("/",Table1[[#This Row],[TeamID]])-1)</f>
        <v>Tayven</v>
      </c>
      <c r="F77" s="26">
        <f>Table1[[#This Row],[TC-G1-AS]]+Table1[[#This Row],[TC-G2-AS]]+Table1[[#This Row],[TC-G3-AS]]+Table1[[#This Row],[TC-G4-AS]]+Table1[[#This Row],[TC-G5-AS]]</f>
        <v>0</v>
      </c>
      <c r="L77" s="25" t="str">
        <f>SUBSTITUTE(Table1[[#This Row],[TeamID]],Table1[[#This Row],[Team Captain]]&amp;"/","")</f>
        <v>Clarence</v>
      </c>
      <c r="R77" s="26">
        <f>Table1[[#This Row],[P-G1-AS]]+Table1[[#This Row],[P-G2-AS]]+Table1[[#This Row],[P-G3-AS]]+Table1[[#This Row],[P-G4-AS]]+Table1[[#This Row],[P-G5-AS]]</f>
        <v>0</v>
      </c>
      <c r="S77" s="25">
        <v>29.24</v>
      </c>
      <c r="T77" s="25">
        <v>1</v>
      </c>
      <c r="U77" s="25" t="s">
        <v>87</v>
      </c>
      <c r="V77" s="25">
        <v>40</v>
      </c>
      <c r="W77" s="25">
        <v>46.97</v>
      </c>
      <c r="X77" s="25">
        <v>1</v>
      </c>
      <c r="Y77" s="25" t="s">
        <v>86</v>
      </c>
      <c r="Z77" s="25">
        <v>56</v>
      </c>
      <c r="AA77" s="26">
        <f>(S77+W77)/2</f>
        <v>38.104999999999997</v>
      </c>
      <c r="AB77" s="25">
        <v>1.5</v>
      </c>
      <c r="AC77" s="25">
        <v>1</v>
      </c>
      <c r="AE77" s="25">
        <v>1.88</v>
      </c>
      <c r="AF77" s="25">
        <v>1</v>
      </c>
      <c r="AH77" s="26">
        <f>(AB77+AE77)/2</f>
        <v>1.69</v>
      </c>
      <c r="AI77" s="25">
        <v>18.96</v>
      </c>
      <c r="AJ77" s="25" t="s">
        <v>87</v>
      </c>
      <c r="AK77" s="25">
        <v>35</v>
      </c>
      <c r="AN77" s="25">
        <v>0</v>
      </c>
      <c r="AO77" s="26">
        <f>T77+AC77+AN77+AF77+X77</f>
        <v>4</v>
      </c>
    </row>
    <row r="78" spans="1:41" hidden="1">
      <c r="A78" s="25" t="s">
        <v>64</v>
      </c>
      <c r="B78" s="25" t="s">
        <v>82</v>
      </c>
      <c r="C78" s="25" t="s">
        <v>43</v>
      </c>
      <c r="D78" s="25" t="s">
        <v>100</v>
      </c>
      <c r="E78" s="25" t="str">
        <f>LEFT(Table1[[#This Row],[TeamID]],FIND("/",Table1[[#This Row],[TeamID]])-1)</f>
        <v>Kevin</v>
      </c>
      <c r="F78" s="26">
        <f>Table1[[#This Row],[TC-G1-AS]]+Table1[[#This Row],[TC-G2-AS]]+Table1[[#This Row],[TC-G3-AS]]+Table1[[#This Row],[TC-G4-AS]]+Table1[[#This Row],[TC-G5-AS]]</f>
        <v>2</v>
      </c>
      <c r="I78" s="25">
        <v>1</v>
      </c>
      <c r="J78" s="25">
        <v>1</v>
      </c>
      <c r="L78" s="25" t="str">
        <f>SUBSTITUTE(Table1[[#This Row],[TeamID]],Table1[[#This Row],[Team Captain]]&amp;"/","")</f>
        <v>Tony</v>
      </c>
      <c r="R78" s="26">
        <f>Table1[[#This Row],[P-G1-AS]]+Table1[[#This Row],[P-G2-AS]]+Table1[[#This Row],[P-G3-AS]]+Table1[[#This Row],[P-G4-AS]]+Table1[[#This Row],[P-G5-AS]]</f>
        <v>0</v>
      </c>
      <c r="S78" s="25">
        <v>30.06</v>
      </c>
      <c r="T78" s="25">
        <v>1</v>
      </c>
      <c r="U78" s="25" t="s">
        <v>55</v>
      </c>
      <c r="V78" s="25">
        <v>4</v>
      </c>
      <c r="W78" s="25">
        <v>37.090000000000003</v>
      </c>
      <c r="X78" s="25">
        <v>0</v>
      </c>
      <c r="AA78" s="26">
        <f>(S78+W78)/2</f>
        <v>33.575000000000003</v>
      </c>
      <c r="AB78" s="25">
        <v>1.1499999999999999</v>
      </c>
      <c r="AC78" s="25">
        <v>0</v>
      </c>
      <c r="AE78" s="25">
        <v>1.79</v>
      </c>
      <c r="AF78" s="25">
        <v>1</v>
      </c>
      <c r="AH78" s="26">
        <f>(AB78+AE78)/2</f>
        <v>1.47</v>
      </c>
      <c r="AI78" s="25">
        <v>27.36</v>
      </c>
      <c r="AJ78" s="25" t="s">
        <v>55</v>
      </c>
      <c r="AK78" s="25">
        <v>40</v>
      </c>
      <c r="AL78" s="25" t="s">
        <v>55</v>
      </c>
      <c r="AM78" s="25">
        <v>4</v>
      </c>
      <c r="AN78" s="25">
        <v>1</v>
      </c>
      <c r="AO78" s="26">
        <f>T78+AC78+AN78+AF78+X78</f>
        <v>3</v>
      </c>
    </row>
    <row r="79" spans="1:41" hidden="1">
      <c r="A79" s="25" t="s">
        <v>64</v>
      </c>
      <c r="B79" s="25" t="s">
        <v>82</v>
      </c>
      <c r="C79" s="25" t="s">
        <v>45</v>
      </c>
      <c r="D79" s="25" t="s">
        <v>90</v>
      </c>
      <c r="E79" s="25" t="str">
        <f>LEFT(Table1[[#This Row],[TeamID]],FIND("/",Table1[[#This Row],[TeamID]])-1)</f>
        <v>Todd</v>
      </c>
      <c r="F79" s="26">
        <f>Table1[[#This Row],[TC-G1-AS]]+Table1[[#This Row],[TC-G2-AS]]+Table1[[#This Row],[TC-G3-AS]]+Table1[[#This Row],[TC-G4-AS]]+Table1[[#This Row],[TC-G5-AS]]</f>
        <v>0</v>
      </c>
      <c r="L79" s="25" t="str">
        <f>SUBSTITUTE(Table1[[#This Row],[TeamID]],Table1[[#This Row],[Team Captain]]&amp;"/","")</f>
        <v>Mike H</v>
      </c>
      <c r="M79" s="25">
        <v>1</v>
      </c>
      <c r="N79" s="25">
        <v>1</v>
      </c>
      <c r="O79" s="25">
        <v>1</v>
      </c>
      <c r="Q79" s="25">
        <v>1</v>
      </c>
      <c r="R79" s="26">
        <f>Table1[[#This Row],[P-G1-AS]]+Table1[[#This Row],[P-G2-AS]]+Table1[[#This Row],[P-G3-AS]]+Table1[[#This Row],[P-G4-AS]]+Table1[[#This Row],[P-G5-AS]]</f>
        <v>4</v>
      </c>
      <c r="S79" s="25">
        <v>31.06</v>
      </c>
      <c r="T79" s="25">
        <v>0</v>
      </c>
      <c r="W79" s="25">
        <v>42.94</v>
      </c>
      <c r="X79" s="25">
        <v>1</v>
      </c>
      <c r="Y79" s="25" t="s">
        <v>91</v>
      </c>
      <c r="Z79" s="25">
        <v>16</v>
      </c>
      <c r="AA79" s="26">
        <f>(S79+W79)/2</f>
        <v>37</v>
      </c>
      <c r="AB79" s="25">
        <v>1.22</v>
      </c>
      <c r="AC79" s="25">
        <v>1</v>
      </c>
      <c r="AE79" s="25">
        <v>1.1499999999999999</v>
      </c>
      <c r="AF79" s="25">
        <v>0</v>
      </c>
      <c r="AH79" s="26">
        <f>(AB79+AE79)/2</f>
        <v>1.1850000000000001</v>
      </c>
      <c r="AI79" s="25">
        <v>28.5</v>
      </c>
      <c r="AJ79" s="25" t="s">
        <v>92</v>
      </c>
      <c r="AK79" s="25">
        <v>27</v>
      </c>
      <c r="AN79" s="25">
        <v>0</v>
      </c>
      <c r="AO79" s="26">
        <f>T79+AC79+AN79+AF79+X79</f>
        <v>2</v>
      </c>
    </row>
    <row r="80" spans="1:41" hidden="1">
      <c r="A80" s="25" t="s">
        <v>65</v>
      </c>
      <c r="B80" s="25" t="s">
        <v>82</v>
      </c>
      <c r="C80" s="25" t="s">
        <v>43</v>
      </c>
      <c r="D80" s="25" t="s">
        <v>88</v>
      </c>
      <c r="E80" s="25" t="str">
        <f>LEFT(Table1[[#This Row],[TeamID]],FIND("/",Table1[[#This Row],[TeamID]])-1)</f>
        <v>Daniel</v>
      </c>
      <c r="F80" s="26">
        <f>Table1[[#This Row],[TC-G1-AS]]+Table1[[#This Row],[TC-G2-AS]]+Table1[[#This Row],[TC-G3-AS]]+Table1[[#This Row],[TC-G4-AS]]+Table1[[#This Row],[TC-G5-AS]]</f>
        <v>1</v>
      </c>
      <c r="I80" s="25">
        <v>1</v>
      </c>
      <c r="L80" s="25" t="str">
        <f>SUBSTITUTE(Table1[[#This Row],[TeamID]],Table1[[#This Row],[Team Captain]]&amp;"/","")</f>
        <v>Matt</v>
      </c>
      <c r="R80" s="26">
        <f>Table1[[#This Row],[P-G1-AS]]+Table1[[#This Row],[P-G2-AS]]+Table1[[#This Row],[P-G3-AS]]+Table1[[#This Row],[P-G4-AS]]+Table1[[#This Row],[P-G5-AS]]</f>
        <v>0</v>
      </c>
      <c r="S80" s="25">
        <v>31.06</v>
      </c>
      <c r="T80" s="25">
        <v>0</v>
      </c>
      <c r="W80" s="25">
        <v>42.84</v>
      </c>
      <c r="X80" s="25">
        <v>1</v>
      </c>
      <c r="Y80" s="25" t="s">
        <v>89</v>
      </c>
      <c r="Z80" s="25">
        <v>32</v>
      </c>
      <c r="AA80" s="26">
        <f>(S80+W80)/2</f>
        <v>36.950000000000003</v>
      </c>
      <c r="AB80" s="25">
        <v>1.45</v>
      </c>
      <c r="AC80" s="25">
        <v>0</v>
      </c>
      <c r="AE80" s="25">
        <v>1.1200000000000001</v>
      </c>
      <c r="AF80" s="25">
        <v>0</v>
      </c>
      <c r="AH80" s="26">
        <f>(AB80+AE80)/2</f>
        <v>1.2850000000000001</v>
      </c>
      <c r="AI80" s="25">
        <v>28.22</v>
      </c>
      <c r="AJ80" s="25" t="s">
        <v>89</v>
      </c>
      <c r="AK80" s="25">
        <v>80</v>
      </c>
      <c r="AL80" s="25" t="s">
        <v>89</v>
      </c>
      <c r="AM80" s="25">
        <v>8</v>
      </c>
      <c r="AN80" s="25">
        <v>1</v>
      </c>
      <c r="AO80" s="26">
        <f>T80+AC80+AN80+AF80+X80</f>
        <v>2</v>
      </c>
    </row>
    <row r="81" spans="1:41" hidden="1">
      <c r="A81" s="25" t="s">
        <v>65</v>
      </c>
      <c r="B81" s="25" t="s">
        <v>82</v>
      </c>
      <c r="C81" s="25" t="s">
        <v>45</v>
      </c>
      <c r="D81" s="25" t="s">
        <v>95</v>
      </c>
      <c r="E81" s="25" t="str">
        <f>LEFT(Table1[[#This Row],[TeamID]],FIND("/",Table1[[#This Row],[TeamID]])-1)</f>
        <v>Brian</v>
      </c>
      <c r="F81" s="26">
        <f>Table1[[#This Row],[TC-G1-AS]]+Table1[[#This Row],[TC-G2-AS]]+Table1[[#This Row],[TC-G3-AS]]+Table1[[#This Row],[TC-G4-AS]]+Table1[[#This Row],[TC-G5-AS]]</f>
        <v>0</v>
      </c>
      <c r="L81" s="25" t="str">
        <f>SUBSTITUTE(Table1[[#This Row],[TeamID]],Table1[[#This Row],[Team Captain]]&amp;"/","")</f>
        <v>Neil</v>
      </c>
      <c r="N81" s="25">
        <v>1</v>
      </c>
      <c r="R81" s="26">
        <f>Table1[[#This Row],[P-G1-AS]]+Table1[[#This Row],[P-G2-AS]]+Table1[[#This Row],[P-G3-AS]]+Table1[[#This Row],[P-G4-AS]]+Table1[[#This Row],[P-G5-AS]]</f>
        <v>1</v>
      </c>
      <c r="S81" s="25">
        <v>30.06</v>
      </c>
      <c r="T81" s="25">
        <v>1</v>
      </c>
      <c r="U81" s="25" t="s">
        <v>96</v>
      </c>
      <c r="V81" s="25">
        <v>2</v>
      </c>
      <c r="W81" s="25">
        <v>44.45</v>
      </c>
      <c r="AA81" s="26">
        <f>(S81+W81)/2</f>
        <v>37.255000000000003</v>
      </c>
      <c r="AB81" s="25">
        <v>2.08</v>
      </c>
      <c r="AC81" s="25">
        <v>1</v>
      </c>
      <c r="AE81" s="25">
        <v>1.2</v>
      </c>
      <c r="AF81" s="25">
        <v>1</v>
      </c>
      <c r="AH81" s="26">
        <f>(AB81+AE81)/2</f>
        <v>1.6400000000000001</v>
      </c>
      <c r="AI81" s="25">
        <v>13.1</v>
      </c>
      <c r="AJ81" s="25" t="s">
        <v>97</v>
      </c>
      <c r="AK81" s="25">
        <v>50</v>
      </c>
      <c r="AN81" s="25">
        <v>0</v>
      </c>
      <c r="AO81" s="26">
        <f>T81+AC81+AN81+AF81+X81</f>
        <v>3</v>
      </c>
    </row>
    <row r="82" spans="1:41" hidden="1">
      <c r="A82" s="25" t="s">
        <v>66</v>
      </c>
      <c r="B82" s="25" t="s">
        <v>82</v>
      </c>
      <c r="C82" s="25" t="s">
        <v>43</v>
      </c>
      <c r="D82" s="25" t="s">
        <v>98</v>
      </c>
      <c r="E82" s="25" t="str">
        <f>LEFT(Table1[[#This Row],[TeamID]],FIND("/",Table1[[#This Row],[TeamID]])-1)</f>
        <v>Jason</v>
      </c>
      <c r="F82" s="26">
        <f>Table1[[#This Row],[TC-G1-AS]]+Table1[[#This Row],[TC-G2-AS]]+Table1[[#This Row],[TC-G3-AS]]+Table1[[#This Row],[TC-G4-AS]]+Table1[[#This Row],[TC-G5-AS]]</f>
        <v>0</v>
      </c>
      <c r="L82" s="25" t="str">
        <f>SUBSTITUTE(Table1[[#This Row],[TeamID]],Table1[[#This Row],[Team Captain]]&amp;"/","")</f>
        <v>Olver</v>
      </c>
      <c r="R82" s="26">
        <f>Table1[[#This Row],[P-G1-AS]]+Table1[[#This Row],[P-G2-AS]]+Table1[[#This Row],[P-G3-AS]]+Table1[[#This Row],[P-G4-AS]]+Table1[[#This Row],[P-G5-AS]]</f>
        <v>0</v>
      </c>
      <c r="S82" s="25">
        <v>29.12</v>
      </c>
      <c r="T82" s="25">
        <v>0</v>
      </c>
      <c r="W82" s="25">
        <v>44.09</v>
      </c>
      <c r="X82" s="25">
        <v>0</v>
      </c>
      <c r="AA82" s="26">
        <f>(S82+W82)/2</f>
        <v>36.605000000000004</v>
      </c>
      <c r="AB82" s="25">
        <v>1.33</v>
      </c>
      <c r="AC82" s="25">
        <v>0</v>
      </c>
      <c r="AE82" s="25">
        <v>1.26</v>
      </c>
      <c r="AF82" s="25">
        <v>0</v>
      </c>
      <c r="AH82" s="26">
        <f>(AB82+AE82)/2</f>
        <v>1.2949999999999999</v>
      </c>
      <c r="AI82" s="25">
        <v>25.5</v>
      </c>
      <c r="AJ82" s="25" t="s">
        <v>99</v>
      </c>
      <c r="AK82" s="25">
        <v>16</v>
      </c>
      <c r="AN82" s="25">
        <v>0</v>
      </c>
      <c r="AO82" s="26">
        <f>T82+AC82+AN82+AF82+X82</f>
        <v>0</v>
      </c>
    </row>
    <row r="83" spans="1:41" hidden="1">
      <c r="A83" s="25" t="s">
        <v>66</v>
      </c>
      <c r="B83" s="25" t="s">
        <v>82</v>
      </c>
      <c r="C83" s="25" t="s">
        <v>45</v>
      </c>
      <c r="D83" s="25" t="s">
        <v>88</v>
      </c>
      <c r="E83" s="25" t="str">
        <f>LEFT(Table1[[#This Row],[TeamID]],FIND("/",Table1[[#This Row],[TeamID]])-1)</f>
        <v>Daniel</v>
      </c>
      <c r="F83" s="26">
        <f>Table1[[#This Row],[TC-G1-AS]]+Table1[[#This Row],[TC-G2-AS]]+Table1[[#This Row],[TC-G3-AS]]+Table1[[#This Row],[TC-G4-AS]]+Table1[[#This Row],[TC-G5-AS]]</f>
        <v>3</v>
      </c>
      <c r="G83" s="25">
        <v>1</v>
      </c>
      <c r="K83" s="25">
        <v>2</v>
      </c>
      <c r="L83" s="25" t="str">
        <f>SUBSTITUTE(Table1[[#This Row],[TeamID]],Table1[[#This Row],[Team Captain]]&amp;"/","")</f>
        <v>Matt</v>
      </c>
      <c r="R83" s="26">
        <f>Table1[[#This Row],[P-G1-AS]]+Table1[[#This Row],[P-G2-AS]]+Table1[[#This Row],[P-G3-AS]]+Table1[[#This Row],[P-G4-AS]]+Table1[[#This Row],[P-G5-AS]]</f>
        <v>0</v>
      </c>
      <c r="S83" s="25">
        <v>55.67</v>
      </c>
      <c r="T83" s="25">
        <v>1</v>
      </c>
      <c r="U83" s="25" t="s">
        <v>89</v>
      </c>
      <c r="V83" s="25">
        <v>66</v>
      </c>
      <c r="W83" s="25">
        <v>46.97</v>
      </c>
      <c r="X83" s="25">
        <v>1</v>
      </c>
      <c r="Y83" s="25" t="s">
        <v>104</v>
      </c>
      <c r="Z83" s="25">
        <v>12</v>
      </c>
      <c r="AA83" s="26">
        <f>(S83+W83)/2</f>
        <v>51.32</v>
      </c>
      <c r="AB83" s="25">
        <v>1.38</v>
      </c>
      <c r="AC83" s="25">
        <v>1</v>
      </c>
      <c r="AE83" s="25">
        <v>1.38</v>
      </c>
      <c r="AF83" s="25">
        <v>1</v>
      </c>
      <c r="AH83" s="26">
        <f>(AB83+AE83)/2</f>
        <v>1.38</v>
      </c>
      <c r="AI83" s="25">
        <v>29.13</v>
      </c>
      <c r="AJ83" s="25" t="s">
        <v>89</v>
      </c>
      <c r="AK83" s="25">
        <v>105</v>
      </c>
      <c r="AL83" s="25" t="s">
        <v>89</v>
      </c>
      <c r="AM83" s="25">
        <v>40</v>
      </c>
      <c r="AN83" s="25">
        <v>1</v>
      </c>
      <c r="AO83" s="26">
        <f>T83+AC83+AN83+AF83+X83</f>
        <v>5</v>
      </c>
    </row>
    <row r="84" spans="1:41" hidden="1">
      <c r="A84" s="25" t="s">
        <v>67</v>
      </c>
      <c r="B84" s="25" t="s">
        <v>82</v>
      </c>
      <c r="C84" s="25" t="s">
        <v>43</v>
      </c>
      <c r="D84" s="25" t="s">
        <v>83</v>
      </c>
      <c r="E84" s="25" t="str">
        <f>LEFT(Table1[[#This Row],[TeamID]],FIND("/",Table1[[#This Row],[TeamID]])-1)</f>
        <v>Mark</v>
      </c>
      <c r="F84" s="26">
        <f>Table1[[#This Row],[TC-G1-AS]]+Table1[[#This Row],[TC-G2-AS]]+Table1[[#This Row],[TC-G3-AS]]+Table1[[#This Row],[TC-G4-AS]]+Table1[[#This Row],[TC-G5-AS]]</f>
        <v>1</v>
      </c>
      <c r="G84" s="25">
        <v>1</v>
      </c>
      <c r="L84" s="25" t="str">
        <f>SUBSTITUTE(Table1[[#This Row],[TeamID]],Table1[[#This Row],[Team Captain]]&amp;"/","")</f>
        <v>Mike C</v>
      </c>
      <c r="O84" s="25">
        <v>1</v>
      </c>
      <c r="R84" s="26">
        <f>Table1[[#This Row],[P-G1-AS]]+Table1[[#This Row],[P-G2-AS]]+Table1[[#This Row],[P-G3-AS]]+Table1[[#This Row],[P-G4-AS]]+Table1[[#This Row],[P-G5-AS]]</f>
        <v>1</v>
      </c>
      <c r="S84" s="25">
        <v>48.48</v>
      </c>
      <c r="T84" s="25">
        <v>1</v>
      </c>
      <c r="U84" s="25" t="s">
        <v>84</v>
      </c>
      <c r="V84" s="25">
        <v>10</v>
      </c>
      <c r="W84" s="25">
        <v>37.57</v>
      </c>
      <c r="X84" s="25">
        <v>1</v>
      </c>
      <c r="Y84" s="25" t="s">
        <v>84</v>
      </c>
      <c r="Z84" s="25">
        <v>24</v>
      </c>
      <c r="AA84" s="26">
        <f>(S84+W84)/2</f>
        <v>43.024999999999999</v>
      </c>
      <c r="AB84" s="25">
        <v>1.75</v>
      </c>
      <c r="AC84" s="25">
        <v>1</v>
      </c>
      <c r="AE84" s="25">
        <v>1.3</v>
      </c>
      <c r="AF84" s="25">
        <v>0</v>
      </c>
      <c r="AH84" s="26">
        <f>(AB84+AE84)/2</f>
        <v>1.5249999999999999</v>
      </c>
      <c r="AI84" s="25">
        <v>28.22</v>
      </c>
      <c r="AJ84" s="25" t="s">
        <v>102</v>
      </c>
      <c r="AK84" s="25">
        <v>49</v>
      </c>
      <c r="AL84" s="25" t="s">
        <v>102</v>
      </c>
      <c r="AM84" s="25">
        <v>12</v>
      </c>
      <c r="AN84" s="25">
        <v>1</v>
      </c>
      <c r="AO84" s="26">
        <f>T84+AC84+AN84+AF84+X84</f>
        <v>4</v>
      </c>
    </row>
    <row r="85" spans="1:41" hidden="1">
      <c r="A85" s="25" t="s">
        <v>67</v>
      </c>
      <c r="B85" s="25" t="s">
        <v>82</v>
      </c>
      <c r="C85" s="25" t="s">
        <v>45</v>
      </c>
      <c r="D85" s="25" t="s">
        <v>100</v>
      </c>
      <c r="E85" s="25" t="str">
        <f>LEFT(Table1[[#This Row],[TeamID]],FIND("/",Table1[[#This Row],[TeamID]])-1)</f>
        <v>Kevin</v>
      </c>
      <c r="F85" s="26">
        <f>Table1[[#This Row],[TC-G1-AS]]+Table1[[#This Row],[TC-G2-AS]]+Table1[[#This Row],[TC-G3-AS]]+Table1[[#This Row],[TC-G4-AS]]+Table1[[#This Row],[TC-G5-AS]]</f>
        <v>0</v>
      </c>
      <c r="L85" s="25" t="str">
        <f>SUBSTITUTE(Table1[[#This Row],[TeamID]],Table1[[#This Row],[Team Captain]]&amp;"/","")</f>
        <v>Tony</v>
      </c>
      <c r="P85" s="25">
        <v>1</v>
      </c>
      <c r="R85" s="26">
        <f>Table1[[#This Row],[P-G1-AS]]+Table1[[#This Row],[P-G2-AS]]+Table1[[#This Row],[P-G3-AS]]+Table1[[#This Row],[P-G4-AS]]+Table1[[#This Row],[P-G5-AS]]</f>
        <v>1</v>
      </c>
      <c r="S85" s="25">
        <v>43.91</v>
      </c>
      <c r="T85" s="25">
        <v>0</v>
      </c>
      <c r="W85" s="25">
        <v>37.08</v>
      </c>
      <c r="X85" s="25">
        <v>0</v>
      </c>
      <c r="AA85" s="26">
        <f>(S85+W85)/2</f>
        <v>40.494999999999997</v>
      </c>
      <c r="AB85" s="25">
        <v>1.31</v>
      </c>
      <c r="AC85" s="25">
        <v>0</v>
      </c>
      <c r="AE85" s="25">
        <v>1.18</v>
      </c>
      <c r="AF85" s="25">
        <v>1</v>
      </c>
      <c r="AH85" s="26">
        <f>(AB85+AE85)/2</f>
        <v>1.2450000000000001</v>
      </c>
      <c r="AI85" s="25">
        <v>26.82</v>
      </c>
      <c r="AJ85" s="25" t="s">
        <v>55</v>
      </c>
      <c r="AK85" s="25">
        <v>60</v>
      </c>
      <c r="AN85" s="25">
        <v>0</v>
      </c>
      <c r="AO85" s="26">
        <f>T85+AC85+AN85+AF85+X85</f>
        <v>1</v>
      </c>
    </row>
    <row r="86" spans="1:41" hidden="1">
      <c r="A86" s="25" t="s">
        <v>68</v>
      </c>
      <c r="B86" s="25" t="s">
        <v>82</v>
      </c>
      <c r="C86" s="25" t="s">
        <v>43</v>
      </c>
      <c r="D86" s="25" t="s">
        <v>93</v>
      </c>
      <c r="E86" s="25" t="str">
        <f>LEFT(Table1[[#This Row],[TeamID]],FIND("/",Table1[[#This Row],[TeamID]])-1)</f>
        <v>Mike A</v>
      </c>
      <c r="F86" s="26">
        <f>Table1[[#This Row],[TC-G1-AS]]+Table1[[#This Row],[TC-G2-AS]]+Table1[[#This Row],[TC-G3-AS]]+Table1[[#This Row],[TC-G4-AS]]+Table1[[#This Row],[TC-G5-AS]]</f>
        <v>0</v>
      </c>
      <c r="L86" s="25" t="str">
        <f>SUBSTITUTE(Table1[[#This Row],[TeamID]],Table1[[#This Row],[Team Captain]]&amp;"/","")</f>
        <v>Paul</v>
      </c>
      <c r="R86" s="26">
        <f>Table1[[#This Row],[P-G1-AS]]+Table1[[#This Row],[P-G2-AS]]+Table1[[#This Row],[P-G3-AS]]+Table1[[#This Row],[P-G4-AS]]+Table1[[#This Row],[P-G5-AS]]</f>
        <v>0</v>
      </c>
      <c r="S86" s="25">
        <v>38.54</v>
      </c>
      <c r="T86" s="25">
        <v>1</v>
      </c>
      <c r="U86" s="25" t="s">
        <v>57</v>
      </c>
      <c r="V86" s="25">
        <v>54</v>
      </c>
      <c r="W86" s="25">
        <v>25.05</v>
      </c>
      <c r="X86" s="25">
        <v>1</v>
      </c>
      <c r="Y86" s="25" t="s">
        <v>57</v>
      </c>
      <c r="Z86" s="25">
        <v>4</v>
      </c>
      <c r="AA86" s="26">
        <f>(S86+W86)/2</f>
        <v>31.795000000000002</v>
      </c>
      <c r="AB86" s="25">
        <v>1.61</v>
      </c>
      <c r="AC86" s="25">
        <v>1</v>
      </c>
      <c r="AE86" s="25">
        <v>1.17</v>
      </c>
      <c r="AF86" s="25">
        <v>0</v>
      </c>
      <c r="AH86" s="26">
        <f>(AB86+AE86)/2</f>
        <v>1.3900000000000001</v>
      </c>
      <c r="AI86" s="25">
        <v>25.8</v>
      </c>
      <c r="AJ86" s="25" t="s">
        <v>94</v>
      </c>
      <c r="AK86" s="25">
        <v>20</v>
      </c>
      <c r="AL86" s="25" t="s">
        <v>57</v>
      </c>
      <c r="AM86" s="25">
        <v>2</v>
      </c>
      <c r="AN86" s="25">
        <v>1</v>
      </c>
      <c r="AO86" s="26">
        <f>T86+AC86+AN86+AF86+X86</f>
        <v>4</v>
      </c>
    </row>
    <row r="87" spans="1:41" hidden="1">
      <c r="A87" s="25" t="s">
        <v>68</v>
      </c>
      <c r="B87" s="25" t="s">
        <v>82</v>
      </c>
      <c r="C87" s="25" t="s">
        <v>45</v>
      </c>
      <c r="D87" s="25" t="s">
        <v>90</v>
      </c>
      <c r="E87" s="25" t="str">
        <f>LEFT(Table1[[#This Row],[TeamID]],FIND("/",Table1[[#This Row],[TeamID]])-1)</f>
        <v>Todd</v>
      </c>
      <c r="F87" s="26">
        <f>Table1[[#This Row],[TC-G1-AS]]+Table1[[#This Row],[TC-G2-AS]]+Table1[[#This Row],[TC-G3-AS]]+Table1[[#This Row],[TC-G4-AS]]+Table1[[#This Row],[TC-G5-AS]]</f>
        <v>0</v>
      </c>
      <c r="L87" s="25" t="str">
        <f>SUBSTITUTE(Table1[[#This Row],[TeamID]],Table1[[#This Row],[Team Captain]]&amp;"/","")</f>
        <v>Mike H</v>
      </c>
      <c r="M87" s="25">
        <v>1</v>
      </c>
      <c r="O87" s="25">
        <v>2</v>
      </c>
      <c r="P87" s="25">
        <v>1</v>
      </c>
      <c r="R87" s="26">
        <f>Table1[[#This Row],[P-G1-AS]]+Table1[[#This Row],[P-G2-AS]]+Table1[[#This Row],[P-G3-AS]]+Table1[[#This Row],[P-G4-AS]]+Table1[[#This Row],[P-G5-AS]]</f>
        <v>4</v>
      </c>
      <c r="S87" s="25">
        <v>40.25</v>
      </c>
      <c r="T87" s="25">
        <v>0</v>
      </c>
      <c r="W87" s="25">
        <v>25.12</v>
      </c>
      <c r="X87" s="25">
        <v>0</v>
      </c>
      <c r="AA87" s="26">
        <f>(S87+W87)/2</f>
        <v>32.685000000000002</v>
      </c>
      <c r="AB87" s="25">
        <v>1.35</v>
      </c>
      <c r="AC87" s="25">
        <v>0</v>
      </c>
      <c r="AE87" s="25">
        <v>1.25</v>
      </c>
      <c r="AF87" s="25">
        <v>1</v>
      </c>
      <c r="AH87" s="26">
        <f>(AB87+AE87)/2</f>
        <v>1.3</v>
      </c>
      <c r="AI87" s="25">
        <v>24.92</v>
      </c>
      <c r="AJ87" s="25" t="s">
        <v>92</v>
      </c>
      <c r="AK87" s="25">
        <v>44</v>
      </c>
      <c r="AN87" s="25">
        <v>0</v>
      </c>
      <c r="AO87" s="26">
        <f>T87+AC87+AN87+AF87+X87</f>
        <v>1</v>
      </c>
    </row>
    <row r="88" spans="1:41" hidden="1">
      <c r="A88" s="25" t="s">
        <v>69</v>
      </c>
      <c r="B88" s="25" t="s">
        <v>82</v>
      </c>
      <c r="C88" s="25" t="s">
        <v>43</v>
      </c>
      <c r="D88" s="25" t="s">
        <v>85</v>
      </c>
      <c r="E88" s="25" t="str">
        <f>LEFT(Table1[[#This Row],[TeamID]],FIND("/",Table1[[#This Row],[TeamID]])-1)</f>
        <v>Tayven</v>
      </c>
      <c r="F88" s="26">
        <f>Table1[[#This Row],[TC-G1-AS]]+Table1[[#This Row],[TC-G2-AS]]+Table1[[#This Row],[TC-G3-AS]]+Table1[[#This Row],[TC-G4-AS]]+Table1[[#This Row],[TC-G5-AS]]</f>
        <v>1</v>
      </c>
      <c r="H88" s="25">
        <v>1</v>
      </c>
      <c r="L88" s="25" t="str">
        <f>SUBSTITUTE(Table1[[#This Row],[TeamID]],Table1[[#This Row],[Team Captain]]&amp;"/","")</f>
        <v>Clarence</v>
      </c>
      <c r="M88" s="25">
        <v>1</v>
      </c>
      <c r="P88" s="25">
        <v>1</v>
      </c>
      <c r="R88" s="26">
        <f>Table1[[#This Row],[P-G1-AS]]+Table1[[#This Row],[P-G2-AS]]+Table1[[#This Row],[P-G3-AS]]+Table1[[#This Row],[P-G4-AS]]+Table1[[#This Row],[P-G5-AS]]</f>
        <v>2</v>
      </c>
      <c r="S88" s="25">
        <v>34.43</v>
      </c>
      <c r="T88" s="25">
        <v>0</v>
      </c>
      <c r="W88" s="25">
        <v>33.4</v>
      </c>
      <c r="X88" s="25">
        <v>1</v>
      </c>
      <c r="Y88" s="25" t="s">
        <v>87</v>
      </c>
      <c r="Z88" s="25">
        <v>12</v>
      </c>
      <c r="AA88" s="26">
        <f>(S88+W88)/2</f>
        <v>33.914999999999999</v>
      </c>
      <c r="AB88" s="25">
        <v>1.39</v>
      </c>
      <c r="AC88" s="25">
        <v>1</v>
      </c>
      <c r="AE88" s="25">
        <v>1.53</v>
      </c>
      <c r="AF88" s="25">
        <v>0</v>
      </c>
      <c r="AH88" s="26">
        <f>(AB88+AE88)/2</f>
        <v>1.46</v>
      </c>
      <c r="AI88" s="25">
        <v>0</v>
      </c>
      <c r="AN88" s="25">
        <v>0</v>
      </c>
      <c r="AO88" s="26">
        <f>T88+AC88+AN88+AF88+X88</f>
        <v>2</v>
      </c>
    </row>
    <row r="89" spans="1:41" hidden="1">
      <c r="A89" s="25" t="s">
        <v>69</v>
      </c>
      <c r="B89" s="25" t="s">
        <v>82</v>
      </c>
      <c r="C89" s="25" t="s">
        <v>45</v>
      </c>
      <c r="D89" s="25" t="s">
        <v>95</v>
      </c>
      <c r="E89" s="25" t="str">
        <f>LEFT(Table1[[#This Row],[TeamID]],FIND("/",Table1[[#This Row],[TeamID]])-1)</f>
        <v>Brian</v>
      </c>
      <c r="F89" s="26">
        <f>Table1[[#This Row],[TC-G1-AS]]+Table1[[#This Row],[TC-G2-AS]]+Table1[[#This Row],[TC-G3-AS]]+Table1[[#This Row],[TC-G4-AS]]+Table1[[#This Row],[TC-G5-AS]]</f>
        <v>4</v>
      </c>
      <c r="G89" s="25">
        <v>1</v>
      </c>
      <c r="H89" s="25">
        <v>1</v>
      </c>
      <c r="K89" s="25">
        <v>2</v>
      </c>
      <c r="L89" s="25" t="str">
        <f>SUBSTITUTE(Table1[[#This Row],[TeamID]],Table1[[#This Row],[Team Captain]]&amp;"/","")</f>
        <v>Neil</v>
      </c>
      <c r="R89" s="26">
        <f>Table1[[#This Row],[P-G1-AS]]+Table1[[#This Row],[P-G2-AS]]+Table1[[#This Row],[P-G3-AS]]+Table1[[#This Row],[P-G4-AS]]+Table1[[#This Row],[P-G5-AS]]</f>
        <v>0</v>
      </c>
      <c r="S89" s="25">
        <v>35.79</v>
      </c>
      <c r="T89" s="25">
        <v>1</v>
      </c>
      <c r="U89" s="25" t="s">
        <v>97</v>
      </c>
      <c r="V89" s="25">
        <v>24</v>
      </c>
      <c r="W89" s="25">
        <v>32.07</v>
      </c>
      <c r="X89" s="25">
        <v>0</v>
      </c>
      <c r="AA89" s="26">
        <f>(S89+W89)/2</f>
        <v>33.93</v>
      </c>
      <c r="AB89" s="25">
        <v>1.23</v>
      </c>
      <c r="AC89" s="25">
        <v>0</v>
      </c>
      <c r="AE89" s="25">
        <v>1.56</v>
      </c>
      <c r="AF89" s="25">
        <v>1</v>
      </c>
      <c r="AH89" s="26">
        <f>(AB89+AE89)/2</f>
        <v>1.395</v>
      </c>
      <c r="AI89" s="25">
        <v>64.5</v>
      </c>
      <c r="AJ89" s="25" t="s">
        <v>96</v>
      </c>
      <c r="AK89" s="25">
        <v>72</v>
      </c>
      <c r="AL89" s="25" t="s">
        <v>96</v>
      </c>
      <c r="AM89" s="25">
        <v>35</v>
      </c>
      <c r="AN89" s="25">
        <v>1</v>
      </c>
      <c r="AO89" s="26">
        <f>T89+AC89+AN89+AF89+X89</f>
        <v>3</v>
      </c>
    </row>
    <row r="90" spans="1:41" hidden="1">
      <c r="A90" s="25" t="s">
        <v>70</v>
      </c>
      <c r="B90" s="25" t="s">
        <v>82</v>
      </c>
      <c r="C90" s="25" t="s">
        <v>43</v>
      </c>
      <c r="D90" s="25" t="s">
        <v>93</v>
      </c>
      <c r="E90" s="25" t="str">
        <f>LEFT(Table1[[#This Row],[TeamID]],FIND("/",Table1[[#This Row],[TeamID]])-1)</f>
        <v>Mike A</v>
      </c>
      <c r="F90" s="26">
        <f>Table1[[#This Row],[TC-G1-AS]]+Table1[[#This Row],[TC-G2-AS]]+Table1[[#This Row],[TC-G3-AS]]+Table1[[#This Row],[TC-G4-AS]]+Table1[[#This Row],[TC-G5-AS]]</f>
        <v>2</v>
      </c>
      <c r="H90" s="25">
        <v>1</v>
      </c>
      <c r="J90" s="25">
        <v>1</v>
      </c>
      <c r="L90" s="25" t="str">
        <f>SUBSTITUTE(Table1[[#This Row],[TeamID]],Table1[[#This Row],[Team Captain]]&amp;"/","")</f>
        <v>Paul</v>
      </c>
      <c r="O90" s="25">
        <v>1</v>
      </c>
      <c r="R90" s="26">
        <f>Table1[[#This Row],[P-G1-AS]]+Table1[[#This Row],[P-G2-AS]]+Table1[[#This Row],[P-G3-AS]]+Table1[[#This Row],[P-G4-AS]]+Table1[[#This Row],[P-G5-AS]]</f>
        <v>1</v>
      </c>
      <c r="S90" s="25">
        <v>30.57</v>
      </c>
      <c r="T90" s="25">
        <v>0</v>
      </c>
      <c r="W90" s="25">
        <v>35.79</v>
      </c>
      <c r="X90" s="25">
        <v>1</v>
      </c>
      <c r="Y90" s="25" t="s">
        <v>105</v>
      </c>
      <c r="Z90" s="25">
        <v>20</v>
      </c>
      <c r="AA90" s="26">
        <f>(S90+W90)/2</f>
        <v>33.18</v>
      </c>
      <c r="AB90" s="25">
        <v>1.5</v>
      </c>
      <c r="AC90" s="25">
        <v>0</v>
      </c>
      <c r="AE90" s="25">
        <v>1.43</v>
      </c>
      <c r="AF90" s="25">
        <v>0</v>
      </c>
      <c r="AH90" s="26">
        <f>(AB90+AE90)/2</f>
        <v>1.4649999999999999</v>
      </c>
      <c r="AI90" s="25">
        <v>27.8</v>
      </c>
      <c r="AJ90" s="25" t="s">
        <v>94</v>
      </c>
      <c r="AK90" s="25">
        <v>21</v>
      </c>
      <c r="AN90" s="25">
        <v>0</v>
      </c>
      <c r="AO90" s="26">
        <f>T90+AC90+AN90+AF90+X90</f>
        <v>1</v>
      </c>
    </row>
    <row r="91" spans="1:41" hidden="1">
      <c r="A91" s="25" t="s">
        <v>70</v>
      </c>
      <c r="B91" s="25" t="s">
        <v>82</v>
      </c>
      <c r="C91" s="25" t="s">
        <v>45</v>
      </c>
      <c r="D91" s="25" t="s">
        <v>85</v>
      </c>
      <c r="E91" s="25" t="str">
        <f>LEFT(Table1[[#This Row],[TeamID]],FIND("/",Table1[[#This Row],[TeamID]])-1)</f>
        <v>Tayven</v>
      </c>
      <c r="F91" s="26">
        <f>Table1[[#This Row],[TC-G1-AS]]+Table1[[#This Row],[TC-G2-AS]]+Table1[[#This Row],[TC-G3-AS]]+Table1[[#This Row],[TC-G4-AS]]+Table1[[#This Row],[TC-G5-AS]]</f>
        <v>3</v>
      </c>
      <c r="I91" s="25">
        <v>1</v>
      </c>
      <c r="K91" s="25">
        <v>2</v>
      </c>
      <c r="L91" s="25" t="str">
        <f>SUBSTITUTE(Table1[[#This Row],[TeamID]],Table1[[#This Row],[Team Captain]]&amp;"/","")</f>
        <v>Clarence</v>
      </c>
      <c r="O91" s="25">
        <v>1</v>
      </c>
      <c r="P91" s="25">
        <v>1</v>
      </c>
      <c r="R91" s="26">
        <f>Table1[[#This Row],[P-G1-AS]]+Table1[[#This Row],[P-G2-AS]]+Table1[[#This Row],[P-G3-AS]]+Table1[[#This Row],[P-G4-AS]]+Table1[[#This Row],[P-G5-AS]]</f>
        <v>2</v>
      </c>
      <c r="S91" s="25">
        <v>34.950000000000003</v>
      </c>
      <c r="T91" s="25">
        <v>1</v>
      </c>
      <c r="U91" s="25" t="s">
        <v>86</v>
      </c>
      <c r="V91" s="25">
        <v>8</v>
      </c>
      <c r="W91" s="25">
        <v>37.15</v>
      </c>
      <c r="X91" s="25">
        <v>0</v>
      </c>
      <c r="AA91" s="26">
        <f>(S91+W91)/2</f>
        <v>36.049999999999997</v>
      </c>
      <c r="AB91" s="25">
        <v>1.75</v>
      </c>
      <c r="AC91" s="25">
        <v>1</v>
      </c>
      <c r="AE91" s="25">
        <v>1.87</v>
      </c>
      <c r="AF91" s="25">
        <v>1</v>
      </c>
      <c r="AH91" s="26">
        <f>(AB91+AE91)/2</f>
        <v>1.81</v>
      </c>
      <c r="AI91" s="25">
        <v>28.22</v>
      </c>
      <c r="AJ91" s="25" t="s">
        <v>86</v>
      </c>
      <c r="AK91" s="25">
        <v>16</v>
      </c>
      <c r="AL91" s="25" t="s">
        <v>86</v>
      </c>
      <c r="AM91" s="25">
        <v>16</v>
      </c>
      <c r="AN91" s="25">
        <v>1</v>
      </c>
      <c r="AO91" s="26">
        <f>T91+AC91+AN91+AF91+X91</f>
        <v>4</v>
      </c>
    </row>
    <row r="92" spans="1:41" hidden="1">
      <c r="A92" s="25" t="s">
        <v>71</v>
      </c>
      <c r="B92" s="25" t="s">
        <v>82</v>
      </c>
      <c r="C92" s="25" t="s">
        <v>43</v>
      </c>
      <c r="D92" s="25" t="s">
        <v>95</v>
      </c>
      <c r="E92" s="25" t="str">
        <f>LEFT(Table1[[#This Row],[TeamID]],FIND("/",Table1[[#This Row],[TeamID]])-1)</f>
        <v>Brian</v>
      </c>
      <c r="F92" s="26">
        <f>Table1[[#This Row],[TC-G1-AS]]+Table1[[#This Row],[TC-G2-AS]]+Table1[[#This Row],[TC-G3-AS]]+Table1[[#This Row],[TC-G4-AS]]+Table1[[#This Row],[TC-G5-AS]]</f>
        <v>0</v>
      </c>
      <c r="L92" s="25" t="str">
        <f>SUBSTITUTE(Table1[[#This Row],[TeamID]],Table1[[#This Row],[Team Captain]]&amp;"/","")</f>
        <v>Neil</v>
      </c>
      <c r="N92" s="25">
        <v>2</v>
      </c>
      <c r="R92" s="26">
        <f>Table1[[#This Row],[P-G1-AS]]+Table1[[#This Row],[P-G2-AS]]+Table1[[#This Row],[P-G3-AS]]+Table1[[#This Row],[P-G4-AS]]+Table1[[#This Row],[P-G5-AS]]</f>
        <v>2</v>
      </c>
      <c r="S92" s="25">
        <v>32.33</v>
      </c>
      <c r="T92" s="25">
        <v>0</v>
      </c>
      <c r="W92" s="25">
        <v>17.079999999999998</v>
      </c>
      <c r="X92" s="25">
        <v>1</v>
      </c>
      <c r="Y92" s="25" t="s">
        <v>96</v>
      </c>
      <c r="Z92" s="25">
        <v>2</v>
      </c>
      <c r="AA92" s="26">
        <f>(S92+W92)/2</f>
        <v>24.704999999999998</v>
      </c>
      <c r="AB92" s="25">
        <v>0.7</v>
      </c>
      <c r="AC92" s="25">
        <v>0</v>
      </c>
      <c r="AE92" s="25">
        <v>1.61</v>
      </c>
      <c r="AF92" s="25">
        <v>1</v>
      </c>
      <c r="AH92" s="26">
        <f>(AB92+AE92)/2</f>
        <v>1.155</v>
      </c>
      <c r="AI92" s="25">
        <v>23.76</v>
      </c>
      <c r="AJ92" s="25" t="s">
        <v>96</v>
      </c>
      <c r="AK92" s="25">
        <v>56</v>
      </c>
      <c r="AL92" s="25" t="s">
        <v>96</v>
      </c>
      <c r="AM92" s="25">
        <v>8</v>
      </c>
      <c r="AN92" s="25">
        <v>1</v>
      </c>
      <c r="AO92" s="26">
        <f>T92+AC92+AN92+AF92+X92</f>
        <v>3</v>
      </c>
    </row>
    <row r="93" spans="1:41" hidden="1">
      <c r="A93" s="25" t="s">
        <v>71</v>
      </c>
      <c r="B93" s="25" t="s">
        <v>82</v>
      </c>
      <c r="C93" s="25" t="s">
        <v>45</v>
      </c>
      <c r="D93" s="25" t="s">
        <v>90</v>
      </c>
      <c r="E93" s="25" t="str">
        <f>LEFT(Table1[[#This Row],[TeamID]],FIND("/",Table1[[#This Row],[TeamID]])-1)</f>
        <v>Todd</v>
      </c>
      <c r="F93" s="26">
        <f>Table1[[#This Row],[TC-G1-AS]]+Table1[[#This Row],[TC-G2-AS]]+Table1[[#This Row],[TC-G3-AS]]+Table1[[#This Row],[TC-G4-AS]]+Table1[[#This Row],[TC-G5-AS]]</f>
        <v>0</v>
      </c>
      <c r="L93" s="25" t="str">
        <f>SUBSTITUTE(Table1[[#This Row],[TeamID]],Table1[[#This Row],[Team Captain]]&amp;"/","")</f>
        <v>Mike H</v>
      </c>
      <c r="M93" s="25">
        <v>1</v>
      </c>
      <c r="O93" s="25">
        <v>1</v>
      </c>
      <c r="R93" s="26">
        <f>Table1[[#This Row],[P-G1-AS]]+Table1[[#This Row],[P-G2-AS]]+Table1[[#This Row],[P-G3-AS]]+Table1[[#This Row],[P-G4-AS]]+Table1[[#This Row],[P-G5-AS]]</f>
        <v>2</v>
      </c>
      <c r="S93" s="25">
        <v>34.159999999999997</v>
      </c>
      <c r="T93" s="25">
        <v>1</v>
      </c>
      <c r="U93" s="25" t="s">
        <v>92</v>
      </c>
      <c r="V93" s="25">
        <v>2</v>
      </c>
      <c r="W93" s="25">
        <v>16.63</v>
      </c>
      <c r="X93" s="25">
        <v>0</v>
      </c>
      <c r="AA93" s="26">
        <f>(S93+W93)/2</f>
        <v>25.394999999999996</v>
      </c>
      <c r="AB93" s="25">
        <v>1.6</v>
      </c>
      <c r="AC93" s="25">
        <v>1</v>
      </c>
      <c r="AE93" s="25">
        <v>1.22</v>
      </c>
      <c r="AF93" s="25">
        <v>0</v>
      </c>
      <c r="AH93" s="26">
        <f>(AB93+AE93)/2</f>
        <v>1.4100000000000001</v>
      </c>
      <c r="AI93" s="25">
        <v>22.23</v>
      </c>
      <c r="AJ93" s="25" t="s">
        <v>92</v>
      </c>
      <c r="AK93" s="25">
        <v>16</v>
      </c>
      <c r="AO93" s="26">
        <f>T93+AC93+AN93+AF93+X93</f>
        <v>2</v>
      </c>
    </row>
    <row r="94" spans="1:41" hidden="1">
      <c r="A94" s="25" t="s">
        <v>72</v>
      </c>
      <c r="B94" s="25" t="s">
        <v>82</v>
      </c>
      <c r="C94" s="25" t="s">
        <v>43</v>
      </c>
      <c r="D94" s="25" t="s">
        <v>83</v>
      </c>
      <c r="E94" s="25" t="str">
        <f>LEFT(Table1[[#This Row],[TeamID]],FIND("/",Table1[[#This Row],[TeamID]])-1)</f>
        <v>Mark</v>
      </c>
      <c r="F94" s="26">
        <f>Table1[[#This Row],[TC-G1-AS]]+Table1[[#This Row],[TC-G2-AS]]+Table1[[#This Row],[TC-G3-AS]]+Table1[[#This Row],[TC-G4-AS]]+Table1[[#This Row],[TC-G5-AS]]</f>
        <v>0</v>
      </c>
      <c r="L94" s="25" t="str">
        <f>SUBSTITUTE(Table1[[#This Row],[TeamID]],Table1[[#This Row],[Team Captain]]&amp;"/","")</f>
        <v>Mike C</v>
      </c>
      <c r="R94" s="26">
        <f>Table1[[#This Row],[P-G1-AS]]+Table1[[#This Row],[P-G2-AS]]+Table1[[#This Row],[P-G3-AS]]+Table1[[#This Row],[P-G4-AS]]+Table1[[#This Row],[P-G5-AS]]</f>
        <v>0</v>
      </c>
      <c r="S94" s="25"/>
      <c r="AA94" s="26">
        <f>(S94+W94)/2</f>
        <v>0</v>
      </c>
      <c r="AH94" s="26">
        <f>(AB94+AE94)/2</f>
        <v>0</v>
      </c>
      <c r="AO94" s="26">
        <f>T94+AC94+AN94+AF94+X94</f>
        <v>0</v>
      </c>
    </row>
    <row r="95" spans="1:41" hidden="1">
      <c r="A95" s="25" t="s">
        <v>72</v>
      </c>
      <c r="B95" s="25" t="s">
        <v>82</v>
      </c>
      <c r="C95" s="25" t="s">
        <v>45</v>
      </c>
      <c r="D95" s="25" t="s">
        <v>98</v>
      </c>
      <c r="E95" s="25" t="str">
        <f>LEFT(Table1[[#This Row],[TeamID]],FIND("/",Table1[[#This Row],[TeamID]])-1)</f>
        <v>Jason</v>
      </c>
      <c r="F95" s="26">
        <f>Table1[[#This Row],[TC-G1-AS]]+Table1[[#This Row],[TC-G2-AS]]+Table1[[#This Row],[TC-G3-AS]]+Table1[[#This Row],[TC-G4-AS]]+Table1[[#This Row],[TC-G5-AS]]</f>
        <v>0</v>
      </c>
      <c r="L95" s="25" t="str">
        <f>SUBSTITUTE(Table1[[#This Row],[TeamID]],Table1[[#This Row],[Team Captain]]&amp;"/","")</f>
        <v>Olver</v>
      </c>
      <c r="R95" s="26">
        <f>Table1[[#This Row],[P-G1-AS]]+Table1[[#This Row],[P-G2-AS]]+Table1[[#This Row],[P-G3-AS]]+Table1[[#This Row],[P-G4-AS]]+Table1[[#This Row],[P-G5-AS]]</f>
        <v>0</v>
      </c>
      <c r="S95" s="25"/>
      <c r="AA95" s="26">
        <f>(S95+W95)/2</f>
        <v>0</v>
      </c>
      <c r="AH95" s="26">
        <f>(AB95+AE95)/2</f>
        <v>0</v>
      </c>
      <c r="AO95" s="26">
        <f>T95+AC95+AN95+AF95+X95</f>
        <v>0</v>
      </c>
    </row>
    <row r="96" spans="1:41" hidden="1">
      <c r="A96" s="25" t="s">
        <v>73</v>
      </c>
      <c r="B96" s="25" t="s">
        <v>82</v>
      </c>
      <c r="C96" s="25" t="s">
        <v>43</v>
      </c>
      <c r="D96" s="25" t="s">
        <v>88</v>
      </c>
      <c r="E96" s="25" t="str">
        <f>LEFT(Table1[[#This Row],[TeamID]],FIND("/",Table1[[#This Row],[TeamID]])-1)</f>
        <v>Daniel</v>
      </c>
      <c r="F96" s="26">
        <f>Table1[[#This Row],[TC-G1-AS]]+Table1[[#This Row],[TC-G2-AS]]+Table1[[#This Row],[TC-G3-AS]]+Table1[[#This Row],[TC-G4-AS]]+Table1[[#This Row],[TC-G5-AS]]</f>
        <v>2</v>
      </c>
      <c r="G96" s="25">
        <v>1</v>
      </c>
      <c r="K96" s="25">
        <v>1</v>
      </c>
      <c r="L96" s="25" t="str">
        <f>SUBSTITUTE(Table1[[#This Row],[TeamID]],Table1[[#This Row],[Team Captain]]&amp;"/","")</f>
        <v>Matt</v>
      </c>
      <c r="N96" s="25">
        <v>1</v>
      </c>
      <c r="O96" s="25">
        <v>1</v>
      </c>
      <c r="P96" s="25">
        <v>1</v>
      </c>
      <c r="R96" s="26">
        <f>Table1[[#This Row],[P-G1-AS]]+Table1[[#This Row],[P-G2-AS]]+Table1[[#This Row],[P-G3-AS]]+Table1[[#This Row],[P-G4-AS]]+Table1[[#This Row],[P-G5-AS]]</f>
        <v>3</v>
      </c>
      <c r="S96" s="25">
        <v>29.27</v>
      </c>
      <c r="T96" s="25">
        <v>0</v>
      </c>
      <c r="W96" s="25">
        <v>39.549999999999997</v>
      </c>
      <c r="X96" s="25">
        <v>1</v>
      </c>
      <c r="Y96" s="25" t="s">
        <v>104</v>
      </c>
      <c r="Z96" s="25">
        <v>8</v>
      </c>
      <c r="AA96" s="26">
        <f>(S96+W96)/2</f>
        <v>34.409999999999997</v>
      </c>
      <c r="AB96" s="25">
        <v>1.69</v>
      </c>
      <c r="AC96" s="25">
        <v>1</v>
      </c>
      <c r="AE96" s="25">
        <v>1.88</v>
      </c>
      <c r="AF96" s="25">
        <v>1</v>
      </c>
      <c r="AH96" s="26">
        <f>(AB96+AE96)/2</f>
        <v>1.7849999999999999</v>
      </c>
      <c r="AI96" s="25">
        <v>28.7</v>
      </c>
      <c r="AJ96" s="25" t="s">
        <v>89</v>
      </c>
      <c r="AK96" s="25">
        <v>54</v>
      </c>
      <c r="AN96" s="25">
        <v>0</v>
      </c>
      <c r="AO96" s="26">
        <f>T96+AC96+AN96+AF96+X96</f>
        <v>3</v>
      </c>
    </row>
    <row r="97" spans="1:41" hidden="1">
      <c r="A97" s="25" t="s">
        <v>73</v>
      </c>
      <c r="B97" s="25" t="s">
        <v>82</v>
      </c>
      <c r="C97" s="25" t="s">
        <v>45</v>
      </c>
      <c r="D97" s="25" t="s">
        <v>100</v>
      </c>
      <c r="E97" s="25" t="str">
        <f>LEFT(Table1[[#This Row],[TeamID]],FIND("/",Table1[[#This Row],[TeamID]])-1)</f>
        <v>Kevin</v>
      </c>
      <c r="F97" s="26">
        <f>Table1[[#This Row],[TC-G1-AS]]+Table1[[#This Row],[TC-G2-AS]]+Table1[[#This Row],[TC-G3-AS]]+Table1[[#This Row],[TC-G4-AS]]+Table1[[#This Row],[TC-G5-AS]]</f>
        <v>1</v>
      </c>
      <c r="I97" s="25">
        <v>1</v>
      </c>
      <c r="L97" s="25" t="str">
        <f>SUBSTITUTE(Table1[[#This Row],[TeamID]],Table1[[#This Row],[Team Captain]]&amp;"/","")</f>
        <v>Tony</v>
      </c>
      <c r="R97" s="26">
        <f>Table1[[#This Row],[P-G1-AS]]+Table1[[#This Row],[P-G2-AS]]+Table1[[#This Row],[P-G3-AS]]+Table1[[#This Row],[P-G4-AS]]+Table1[[#This Row],[P-G5-AS]]</f>
        <v>0</v>
      </c>
      <c r="S97" s="25">
        <v>34.1</v>
      </c>
      <c r="T97" s="25">
        <v>1</v>
      </c>
      <c r="U97" s="25" t="s">
        <v>55</v>
      </c>
      <c r="V97" s="25">
        <v>20</v>
      </c>
      <c r="W97" s="25">
        <v>38.229999999999997</v>
      </c>
      <c r="X97" s="25">
        <v>0</v>
      </c>
      <c r="AA97" s="26">
        <f>(S97+W97)/2</f>
        <v>36.164999999999999</v>
      </c>
      <c r="AB97" s="25">
        <v>1.19</v>
      </c>
      <c r="AC97" s="25">
        <v>0</v>
      </c>
      <c r="AE97" s="25">
        <v>1.6</v>
      </c>
      <c r="AF97" s="25">
        <v>0</v>
      </c>
      <c r="AH97" s="26">
        <f>(AB97+AE97)/2</f>
        <v>1.395</v>
      </c>
      <c r="AI97" s="25">
        <v>28.22</v>
      </c>
      <c r="AJ97" s="25" t="s">
        <v>106</v>
      </c>
      <c r="AK97" s="25">
        <v>57</v>
      </c>
      <c r="AL97" s="25" t="s">
        <v>55</v>
      </c>
      <c r="AM97" s="25">
        <v>6</v>
      </c>
      <c r="AN97" s="25">
        <v>1</v>
      </c>
      <c r="AO97" s="26">
        <f>T97+AC97+AN97+AF97+X97</f>
        <v>2</v>
      </c>
    </row>
    <row r="98" spans="1:41" hidden="1">
      <c r="A98" s="25" t="s">
        <v>74</v>
      </c>
      <c r="B98" s="25" t="s">
        <v>82</v>
      </c>
      <c r="C98" s="25" t="s">
        <v>43</v>
      </c>
      <c r="D98" s="25" t="s">
        <v>95</v>
      </c>
      <c r="E98" s="25" t="str">
        <f>LEFT(Table1[[#This Row],[TeamID]],FIND("/",Table1[[#This Row],[TeamID]])-1)</f>
        <v>Brian</v>
      </c>
      <c r="F98" s="26">
        <f>Table1[[#This Row],[TC-G1-AS]]+Table1[[#This Row],[TC-G2-AS]]+Table1[[#This Row],[TC-G3-AS]]+Table1[[#This Row],[TC-G4-AS]]+Table1[[#This Row],[TC-G5-AS]]</f>
        <v>1</v>
      </c>
      <c r="J98" s="25">
        <v>1</v>
      </c>
      <c r="L98" s="25" t="str">
        <f>SUBSTITUTE(Table1[[#This Row],[TeamID]],Table1[[#This Row],[Team Captain]]&amp;"/","")</f>
        <v>Neil</v>
      </c>
      <c r="M98" s="25">
        <v>1</v>
      </c>
      <c r="O98" s="25">
        <v>1</v>
      </c>
      <c r="R98" s="26">
        <f>Table1[[#This Row],[P-G1-AS]]+Table1[[#This Row],[P-G2-AS]]+Table1[[#This Row],[P-G3-AS]]+Table1[[#This Row],[P-G4-AS]]+Table1[[#This Row],[P-G5-AS]]</f>
        <v>2</v>
      </c>
      <c r="S98" s="25">
        <v>44.21</v>
      </c>
      <c r="T98" s="25">
        <v>1</v>
      </c>
      <c r="U98" s="25" t="s">
        <v>97</v>
      </c>
      <c r="V98" s="25">
        <v>38</v>
      </c>
      <c r="W98" s="25">
        <v>26.37</v>
      </c>
      <c r="X98" s="25">
        <v>1</v>
      </c>
      <c r="Y98" s="25" t="s">
        <v>97</v>
      </c>
      <c r="Z98" s="25">
        <v>4</v>
      </c>
      <c r="AA98" s="26">
        <f>(S98+W98)/2</f>
        <v>35.29</v>
      </c>
      <c r="AB98" s="25">
        <v>0.82</v>
      </c>
      <c r="AC98" s="25">
        <v>1</v>
      </c>
      <c r="AE98" s="25">
        <v>1</v>
      </c>
      <c r="AF98" s="25">
        <v>1</v>
      </c>
      <c r="AH98" s="26">
        <f>(AB98+AE98)/2</f>
        <v>0.90999999999999992</v>
      </c>
      <c r="AI98" s="25">
        <v>16.28</v>
      </c>
      <c r="AJ98" s="25" t="s">
        <v>97</v>
      </c>
      <c r="AK98" s="25">
        <v>12</v>
      </c>
      <c r="AN98" s="25">
        <v>0</v>
      </c>
      <c r="AO98" s="26">
        <f>T98+AC98+AN98+AF98+X98</f>
        <v>4</v>
      </c>
    </row>
    <row r="99" spans="1:41" hidden="1">
      <c r="A99" s="25" t="s">
        <v>74</v>
      </c>
      <c r="B99" s="25" t="s">
        <v>82</v>
      </c>
      <c r="C99" s="25" t="s">
        <v>45</v>
      </c>
      <c r="D99" s="25" t="s">
        <v>98</v>
      </c>
      <c r="E99" s="25" t="str">
        <f>LEFT(Table1[[#This Row],[TeamID]],FIND("/",Table1[[#This Row],[TeamID]])-1)</f>
        <v>Jason</v>
      </c>
      <c r="F99" s="26">
        <f>Table1[[#This Row],[TC-G1-AS]]+Table1[[#This Row],[TC-G2-AS]]+Table1[[#This Row],[TC-G3-AS]]+Table1[[#This Row],[TC-G4-AS]]+Table1[[#This Row],[TC-G5-AS]]</f>
        <v>1</v>
      </c>
      <c r="J99" s="25">
        <v>1</v>
      </c>
      <c r="L99" s="25" t="str">
        <f>SUBSTITUTE(Table1[[#This Row],[TeamID]],Table1[[#This Row],[Team Captain]]&amp;"/","")</f>
        <v>Olver</v>
      </c>
      <c r="N99" s="25">
        <v>2</v>
      </c>
      <c r="R99" s="26">
        <f>Table1[[#This Row],[P-G1-AS]]+Table1[[#This Row],[P-G2-AS]]+Table1[[#This Row],[P-G3-AS]]+Table1[[#This Row],[P-G4-AS]]+Table1[[#This Row],[P-G5-AS]]</f>
        <v>2</v>
      </c>
      <c r="S99" s="25">
        <v>43.27</v>
      </c>
      <c r="T99" s="25">
        <v>0</v>
      </c>
      <c r="W99" s="25">
        <v>25.37</v>
      </c>
      <c r="X99" s="25">
        <v>0</v>
      </c>
      <c r="AA99" s="26">
        <f>(S99+W99)/2</f>
        <v>34.32</v>
      </c>
      <c r="AB99" s="25">
        <v>0.69</v>
      </c>
      <c r="AC99" s="25">
        <v>0</v>
      </c>
      <c r="AE99" s="25">
        <v>0.84</v>
      </c>
      <c r="AF99" s="25">
        <v>0</v>
      </c>
      <c r="AH99" s="26">
        <f>(AB99+AE99)/2</f>
        <v>0.7649999999999999</v>
      </c>
      <c r="AI99" s="25">
        <v>15.84</v>
      </c>
      <c r="AJ99" s="25" t="s">
        <v>99</v>
      </c>
      <c r="AK99" s="25">
        <v>14</v>
      </c>
      <c r="AL99" s="25" t="s">
        <v>99</v>
      </c>
      <c r="AM99" s="25">
        <v>16</v>
      </c>
      <c r="AN99" s="25">
        <v>1</v>
      </c>
      <c r="AO99" s="26">
        <f>T99+AC99+AN99+AF99+X99</f>
        <v>1</v>
      </c>
    </row>
    <row r="100" spans="1:41" hidden="1">
      <c r="A100" s="25" t="s">
        <v>75</v>
      </c>
      <c r="B100" s="25" t="s">
        <v>82</v>
      </c>
      <c r="C100" s="25" t="s">
        <v>43</v>
      </c>
      <c r="D100" s="25" t="s">
        <v>90</v>
      </c>
      <c r="E100" s="25" t="str">
        <f>LEFT(Table1[[#This Row],[TeamID]],FIND("/",Table1[[#This Row],[TeamID]])-1)</f>
        <v>Todd</v>
      </c>
      <c r="F100" s="26">
        <f>Table1[[#This Row],[TC-G1-AS]]+Table1[[#This Row],[TC-G2-AS]]+Table1[[#This Row],[TC-G3-AS]]+Table1[[#This Row],[TC-G4-AS]]+Table1[[#This Row],[TC-G5-AS]]</f>
        <v>2</v>
      </c>
      <c r="H100" s="25">
        <v>1</v>
      </c>
      <c r="I100" s="25">
        <v>1</v>
      </c>
      <c r="L100" s="25" t="str">
        <f>SUBSTITUTE(Table1[[#This Row],[TeamID]],Table1[[#This Row],[Team Captain]]&amp;"/","")</f>
        <v>Mike H</v>
      </c>
      <c r="R100" s="26">
        <f>Table1[[#This Row],[P-G1-AS]]+Table1[[#This Row],[P-G2-AS]]+Table1[[#This Row],[P-G3-AS]]+Table1[[#This Row],[P-G4-AS]]+Table1[[#This Row],[P-G5-AS]]</f>
        <v>0</v>
      </c>
      <c r="S100" s="25">
        <v>38.54</v>
      </c>
      <c r="T100" s="25">
        <v>1</v>
      </c>
      <c r="U100" s="25" t="s">
        <v>91</v>
      </c>
      <c r="V100" s="25">
        <v>53</v>
      </c>
      <c r="W100" s="25">
        <v>48.48</v>
      </c>
      <c r="X100" s="25">
        <v>1</v>
      </c>
      <c r="Y100" s="25" t="s">
        <v>92</v>
      </c>
      <c r="Z100" s="25">
        <v>34</v>
      </c>
      <c r="AA100" s="26">
        <f>(S100+W100)/2</f>
        <v>43.51</v>
      </c>
      <c r="AB100" s="25">
        <v>1.41</v>
      </c>
      <c r="AC100" s="25">
        <v>1</v>
      </c>
      <c r="AE100" s="25">
        <v>0.88</v>
      </c>
      <c r="AF100" s="25">
        <v>0</v>
      </c>
      <c r="AH100" s="26">
        <f>(AB100+AE100)/2</f>
        <v>1.145</v>
      </c>
      <c r="AI100" s="25">
        <v>17.41</v>
      </c>
      <c r="AJ100" s="25" t="s">
        <v>92</v>
      </c>
      <c r="AK100" s="25">
        <v>46</v>
      </c>
      <c r="AN100" s="25">
        <v>0</v>
      </c>
      <c r="AO100" s="26">
        <f>T100+AC100+AN100+AF100+X100</f>
        <v>3</v>
      </c>
    </row>
    <row r="101" spans="1:41" hidden="1">
      <c r="A101" s="25" t="s">
        <v>75</v>
      </c>
      <c r="B101" s="25" t="s">
        <v>82</v>
      </c>
      <c r="C101" s="25" t="s">
        <v>45</v>
      </c>
      <c r="D101" s="25" t="s">
        <v>83</v>
      </c>
      <c r="E101" s="25" t="str">
        <f>LEFT(Table1[[#This Row],[TeamID]],FIND("/",Table1[[#This Row],[TeamID]])-1)</f>
        <v>Mark</v>
      </c>
      <c r="F101" s="26">
        <f>Table1[[#This Row],[TC-G1-AS]]+Table1[[#This Row],[TC-G2-AS]]+Table1[[#This Row],[TC-G3-AS]]+Table1[[#This Row],[TC-G4-AS]]+Table1[[#This Row],[TC-G5-AS]]</f>
        <v>1</v>
      </c>
      <c r="H101" s="25">
        <v>1</v>
      </c>
      <c r="L101" s="25" t="str">
        <f>SUBSTITUTE(Table1[[#This Row],[TeamID]],Table1[[#This Row],[Team Captain]]&amp;"/","")</f>
        <v>Mike C</v>
      </c>
      <c r="R101" s="26">
        <f>Table1[[#This Row],[P-G1-AS]]+Table1[[#This Row],[P-G2-AS]]+Table1[[#This Row],[P-G3-AS]]+Table1[[#This Row],[P-G4-AS]]+Table1[[#This Row],[P-G5-AS]]</f>
        <v>0</v>
      </c>
      <c r="S101" s="25">
        <v>37.33</v>
      </c>
      <c r="T101" s="25">
        <v>0</v>
      </c>
      <c r="W101" s="25">
        <v>39.729999999999997</v>
      </c>
      <c r="X101" s="25">
        <v>0</v>
      </c>
      <c r="AA101" s="26">
        <f>(S101+W101)/2</f>
        <v>38.53</v>
      </c>
      <c r="AB101" s="25">
        <v>1.19</v>
      </c>
      <c r="AC101" s="25">
        <v>0</v>
      </c>
      <c r="AE101" s="25">
        <v>1.08</v>
      </c>
      <c r="AF101" s="25">
        <v>1</v>
      </c>
      <c r="AH101" s="26">
        <f>(AB101+AE101)/2</f>
        <v>1.135</v>
      </c>
      <c r="AI101" s="25">
        <v>16.72</v>
      </c>
      <c r="AJ101" s="25" t="s">
        <v>84</v>
      </c>
      <c r="AK101" s="25">
        <v>41</v>
      </c>
      <c r="AL101" s="25" t="s">
        <v>102</v>
      </c>
      <c r="AM101" s="25">
        <v>2</v>
      </c>
      <c r="AN101" s="25">
        <v>1</v>
      </c>
      <c r="AO101" s="26">
        <f>T101+AC101+AN101+AF101+X101</f>
        <v>2</v>
      </c>
    </row>
    <row r="102" spans="1:41" hidden="1">
      <c r="A102" s="25" t="s">
        <v>76</v>
      </c>
      <c r="B102" s="25" t="s">
        <v>82</v>
      </c>
      <c r="C102" s="25" t="s">
        <v>43</v>
      </c>
      <c r="D102" s="25" t="s">
        <v>85</v>
      </c>
      <c r="E102" s="25" t="str">
        <f>LEFT(Table1[[#This Row],[TeamID]],FIND("/",Table1[[#This Row],[TeamID]])-1)</f>
        <v>Tayven</v>
      </c>
      <c r="F102" s="26">
        <f>Table1[[#This Row],[TC-G1-AS]]+Table1[[#This Row],[TC-G2-AS]]+Table1[[#This Row],[TC-G3-AS]]+Table1[[#This Row],[TC-G4-AS]]+Table1[[#This Row],[TC-G5-AS]]</f>
        <v>0</v>
      </c>
      <c r="L102" s="25" t="str">
        <f>SUBSTITUTE(Table1[[#This Row],[TeamID]],Table1[[#This Row],[Team Captain]]&amp;"/","")</f>
        <v>Clarence</v>
      </c>
      <c r="O102" s="25">
        <v>2</v>
      </c>
      <c r="R102" s="26">
        <f>Table1[[#This Row],[P-G1-AS]]+Table1[[#This Row],[P-G2-AS]]+Table1[[#This Row],[P-G3-AS]]+Table1[[#This Row],[P-G4-AS]]+Table1[[#This Row],[P-G5-AS]]</f>
        <v>2</v>
      </c>
      <c r="S102" s="25">
        <v>40.08</v>
      </c>
      <c r="T102" s="25">
        <v>0</v>
      </c>
      <c r="W102" s="25">
        <v>34.380000000000003</v>
      </c>
      <c r="X102" s="25">
        <v>0</v>
      </c>
      <c r="AA102" s="26">
        <f>(S102+W102)/2</f>
        <v>37.230000000000004</v>
      </c>
      <c r="AB102" s="25">
        <v>1.64</v>
      </c>
      <c r="AC102" s="25">
        <v>1</v>
      </c>
      <c r="AE102" s="25">
        <v>1.27</v>
      </c>
      <c r="AF102" s="25">
        <v>0</v>
      </c>
      <c r="AH102" s="26">
        <f>(AB102+AE102)/2</f>
        <v>1.4550000000000001</v>
      </c>
      <c r="AI102" s="25">
        <v>23.36</v>
      </c>
      <c r="AJ102" s="25" t="s">
        <v>86</v>
      </c>
      <c r="AK102" s="25">
        <v>12</v>
      </c>
      <c r="AN102" s="25">
        <v>0</v>
      </c>
      <c r="AO102" s="26">
        <f>T102+AC102+AN102+AF102+X102</f>
        <v>1</v>
      </c>
    </row>
    <row r="103" spans="1:41" hidden="1">
      <c r="A103" s="25" t="s">
        <v>76</v>
      </c>
      <c r="B103" s="25" t="s">
        <v>82</v>
      </c>
      <c r="C103" s="25" t="s">
        <v>45</v>
      </c>
      <c r="D103" s="25" t="s">
        <v>88</v>
      </c>
      <c r="E103" s="25" t="str">
        <f>LEFT(Table1[[#This Row],[TeamID]],FIND("/",Table1[[#This Row],[TeamID]])-1)</f>
        <v>Daniel</v>
      </c>
      <c r="F103" s="26">
        <f>Table1[[#This Row],[TC-G1-AS]]+Table1[[#This Row],[TC-G2-AS]]+Table1[[#This Row],[TC-G3-AS]]+Table1[[#This Row],[TC-G4-AS]]+Table1[[#This Row],[TC-G5-AS]]</f>
        <v>3</v>
      </c>
      <c r="I103" s="25">
        <v>2</v>
      </c>
      <c r="K103" s="25">
        <v>1</v>
      </c>
      <c r="L103" s="25" t="str">
        <f>SUBSTITUTE(Table1[[#This Row],[TeamID]],Table1[[#This Row],[Team Captain]]&amp;"/","")</f>
        <v>Matt</v>
      </c>
      <c r="P103" s="25">
        <v>1</v>
      </c>
      <c r="R103" s="26">
        <f>Table1[[#This Row],[P-G1-AS]]+Table1[[#This Row],[P-G2-AS]]+Table1[[#This Row],[P-G3-AS]]+Table1[[#This Row],[P-G4-AS]]+Table1[[#This Row],[P-G5-AS]]</f>
        <v>1</v>
      </c>
      <c r="S103" s="25">
        <v>39.549999999999997</v>
      </c>
      <c r="T103" s="25">
        <v>1</v>
      </c>
      <c r="U103" s="25" t="s">
        <v>89</v>
      </c>
      <c r="V103" s="25">
        <v>35</v>
      </c>
      <c r="W103" s="25">
        <v>40.619999999999997</v>
      </c>
      <c r="X103" s="25">
        <v>1</v>
      </c>
      <c r="Y103" s="25" t="s">
        <v>104</v>
      </c>
      <c r="Z103" s="25">
        <v>40</v>
      </c>
      <c r="AA103" s="26">
        <f>(S103+W103)/2</f>
        <v>40.084999999999994</v>
      </c>
      <c r="AB103" s="25">
        <v>1.62</v>
      </c>
      <c r="AC103" s="25">
        <v>0</v>
      </c>
      <c r="AE103" s="25">
        <v>1.35</v>
      </c>
      <c r="AF103" s="25">
        <v>1</v>
      </c>
      <c r="AH103" s="26">
        <f>(AB103+AE103)/2</f>
        <v>1.4850000000000001</v>
      </c>
      <c r="AI103" s="25">
        <v>28.22</v>
      </c>
      <c r="AJ103" s="25" t="s">
        <v>89</v>
      </c>
      <c r="AK103" s="25">
        <v>45</v>
      </c>
      <c r="AL103" s="25" t="s">
        <v>89</v>
      </c>
      <c r="AM103" s="25">
        <v>16</v>
      </c>
      <c r="AN103" s="25">
        <v>1</v>
      </c>
      <c r="AO103" s="26">
        <f>T103+AC103+AN103+AF103+X103</f>
        <v>4</v>
      </c>
    </row>
    <row r="104" spans="1:41" hidden="1">
      <c r="A104" s="25" t="s">
        <v>77</v>
      </c>
      <c r="B104" s="25" t="s">
        <v>82</v>
      </c>
      <c r="C104" s="25" t="s">
        <v>43</v>
      </c>
      <c r="D104" s="25" t="s">
        <v>100</v>
      </c>
      <c r="E104" s="25" t="str">
        <f>LEFT(Table1[[#This Row],[TeamID]],FIND("/",Table1[[#This Row],[TeamID]])-1)</f>
        <v>Kevin</v>
      </c>
      <c r="F104" s="26">
        <f>Table1[[#This Row],[TC-G1-AS]]+Table1[[#This Row],[TC-G2-AS]]+Table1[[#This Row],[TC-G3-AS]]+Table1[[#This Row],[TC-G4-AS]]+Table1[[#This Row],[TC-G5-AS]]</f>
        <v>0</v>
      </c>
      <c r="L104" s="25" t="str">
        <f>SUBSTITUTE(Table1[[#This Row],[TeamID]],Table1[[#This Row],[Team Captain]]&amp;"/","")</f>
        <v>Tony</v>
      </c>
      <c r="R104" s="26">
        <f>Table1[[#This Row],[P-G1-AS]]+Table1[[#This Row],[P-G2-AS]]+Table1[[#This Row],[P-G3-AS]]+Table1[[#This Row],[P-G4-AS]]+Table1[[#This Row],[P-G5-AS]]</f>
        <v>0</v>
      </c>
      <c r="S104" s="25">
        <v>23.48</v>
      </c>
      <c r="T104" s="25">
        <v>1</v>
      </c>
      <c r="U104" s="25" t="s">
        <v>55</v>
      </c>
      <c r="V104" s="25">
        <v>8</v>
      </c>
      <c r="W104" s="25">
        <v>35.79</v>
      </c>
      <c r="X104" s="25">
        <v>1</v>
      </c>
      <c r="Y104" s="25" t="s">
        <v>55</v>
      </c>
      <c r="Z104" s="25">
        <v>32</v>
      </c>
      <c r="AA104" s="26">
        <f>(S104+W104)/2</f>
        <v>29.634999999999998</v>
      </c>
      <c r="AB104" s="25">
        <v>1.08</v>
      </c>
      <c r="AC104" s="25">
        <v>0</v>
      </c>
      <c r="AE104" s="25">
        <v>1.1000000000000001</v>
      </c>
      <c r="AF104" s="25">
        <v>0</v>
      </c>
      <c r="AH104" s="26">
        <f>(AB104+AE104)/2</f>
        <v>1.0900000000000001</v>
      </c>
      <c r="AI104" s="25">
        <v>33.44</v>
      </c>
      <c r="AJ104" s="25" t="s">
        <v>55</v>
      </c>
      <c r="AK104" s="25">
        <v>31</v>
      </c>
      <c r="AL104" s="25" t="s">
        <v>55</v>
      </c>
      <c r="AM104" s="25">
        <v>18</v>
      </c>
      <c r="AN104" s="25">
        <v>1</v>
      </c>
      <c r="AO104" s="26">
        <f>T104+AC104+AN104+AF104+X104</f>
        <v>3</v>
      </c>
    </row>
    <row r="105" spans="1:41" hidden="1">
      <c r="A105" s="25" t="s">
        <v>77</v>
      </c>
      <c r="B105" s="25" t="s">
        <v>82</v>
      </c>
      <c r="C105" s="25" t="s">
        <v>45</v>
      </c>
      <c r="D105" s="25" t="s">
        <v>93</v>
      </c>
      <c r="E105" s="25" t="str">
        <f>LEFT(Table1[[#This Row],[TeamID]],FIND("/",Table1[[#This Row],[TeamID]])-1)</f>
        <v>Mike A</v>
      </c>
      <c r="F105" s="26">
        <f>Table1[[#This Row],[TC-G1-AS]]+Table1[[#This Row],[TC-G2-AS]]+Table1[[#This Row],[TC-G3-AS]]+Table1[[#This Row],[TC-G4-AS]]+Table1[[#This Row],[TC-G5-AS]]</f>
        <v>2</v>
      </c>
      <c r="I105" s="25">
        <v>1</v>
      </c>
      <c r="J105" s="25">
        <v>1</v>
      </c>
      <c r="L105" s="25" t="str">
        <f>SUBSTITUTE(Table1[[#This Row],[TeamID]],Table1[[#This Row],[Team Captain]]&amp;"/","")</f>
        <v>Paul</v>
      </c>
      <c r="R105" s="26">
        <f>Table1[[#This Row],[P-G1-AS]]+Table1[[#This Row],[P-G2-AS]]+Table1[[#This Row],[P-G3-AS]]+Table1[[#This Row],[P-G4-AS]]+Table1[[#This Row],[P-G5-AS]]</f>
        <v>0</v>
      </c>
      <c r="S105" s="25">
        <v>23.71</v>
      </c>
      <c r="T105" s="25">
        <v>0</v>
      </c>
      <c r="W105" s="25">
        <v>35.07</v>
      </c>
      <c r="X105" s="25">
        <v>0</v>
      </c>
      <c r="AA105" s="26">
        <f>(S105+W105)/2</f>
        <v>29.39</v>
      </c>
      <c r="AB105" s="25">
        <v>1.24</v>
      </c>
      <c r="AC105" s="25">
        <v>1</v>
      </c>
      <c r="AE105" s="25">
        <v>2.09</v>
      </c>
      <c r="AF105" s="25">
        <v>1</v>
      </c>
      <c r="AH105" s="26">
        <f>(AB105+AE105)/2</f>
        <v>1.665</v>
      </c>
      <c r="AI105" s="25">
        <v>29.88</v>
      </c>
      <c r="AJ105" s="25" t="s">
        <v>57</v>
      </c>
      <c r="AK105" s="25">
        <v>8</v>
      </c>
      <c r="AO105" s="26">
        <f>T105+AC105+AN105+AF105+X105</f>
        <v>2</v>
      </c>
    </row>
    <row r="106" spans="1:41" hidden="1">
      <c r="A106" s="25" t="s">
        <v>78</v>
      </c>
      <c r="B106" s="25" t="s">
        <v>82</v>
      </c>
      <c r="C106" s="25" t="s">
        <v>43</v>
      </c>
      <c r="D106" s="25" t="s">
        <v>85</v>
      </c>
      <c r="E106" s="25" t="str">
        <f>LEFT(Table1[[#This Row],[TeamID]],FIND("/",Table1[[#This Row],[TeamID]])-1)</f>
        <v>Tayven</v>
      </c>
      <c r="F106" s="26">
        <f>Table1[[#This Row],[TC-G1-AS]]+Table1[[#This Row],[TC-G2-AS]]+Table1[[#This Row],[TC-G3-AS]]+Table1[[#This Row],[TC-G4-AS]]+Table1[[#This Row],[TC-G5-AS]]</f>
        <v>0</v>
      </c>
      <c r="L106" s="25" t="str">
        <f>SUBSTITUTE(Table1[[#This Row],[TeamID]],Table1[[#This Row],[Team Captain]]&amp;"/","")</f>
        <v>Clarence</v>
      </c>
      <c r="R106" s="26">
        <f>Table1[[#This Row],[P-G1-AS]]+Table1[[#This Row],[P-G2-AS]]+Table1[[#This Row],[P-G3-AS]]+Table1[[#This Row],[P-G4-AS]]+Table1[[#This Row],[P-G5-AS]]</f>
        <v>0</v>
      </c>
      <c r="S106" s="25">
        <v>41.75</v>
      </c>
      <c r="T106" s="25">
        <v>1</v>
      </c>
      <c r="U106" s="25" t="s">
        <v>86</v>
      </c>
      <c r="V106" s="25">
        <v>20</v>
      </c>
      <c r="W106" s="25">
        <v>32.869999999999997</v>
      </c>
      <c r="X106" s="25">
        <v>0</v>
      </c>
      <c r="AA106" s="26">
        <f>(S106+W106)/2</f>
        <v>37.31</v>
      </c>
      <c r="AB106" s="25">
        <v>1.26</v>
      </c>
      <c r="AC106" s="25">
        <v>0</v>
      </c>
      <c r="AE106" s="25">
        <v>1.24</v>
      </c>
      <c r="AF106" s="25">
        <v>1</v>
      </c>
      <c r="AH106" s="26">
        <f>(AB106+AE106)/2</f>
        <v>1.25</v>
      </c>
      <c r="AI106" s="25">
        <v>31.14</v>
      </c>
      <c r="AJ106" s="25" t="s">
        <v>87</v>
      </c>
      <c r="AK106" s="25">
        <v>16</v>
      </c>
      <c r="AL106" s="25" t="s">
        <v>86</v>
      </c>
      <c r="AM106" s="25">
        <v>50</v>
      </c>
      <c r="AN106" s="25">
        <v>1</v>
      </c>
      <c r="AO106" s="26">
        <f>T106+AC106+AN106+AF106+X106</f>
        <v>3</v>
      </c>
    </row>
    <row r="107" spans="1:41" hidden="1">
      <c r="A107" s="25" t="s">
        <v>78</v>
      </c>
      <c r="B107" s="25" t="s">
        <v>82</v>
      </c>
      <c r="C107" s="25" t="s">
        <v>45</v>
      </c>
      <c r="D107" s="25" t="s">
        <v>100</v>
      </c>
      <c r="E107" s="25" t="str">
        <f>LEFT(Table1[[#This Row],[TeamID]],FIND("/",Table1[[#This Row],[TeamID]])-1)</f>
        <v>Kevin</v>
      </c>
      <c r="F107" s="26">
        <f>Table1[[#This Row],[TC-G1-AS]]+Table1[[#This Row],[TC-G2-AS]]+Table1[[#This Row],[TC-G3-AS]]+Table1[[#This Row],[TC-G4-AS]]+Table1[[#This Row],[TC-G5-AS]]</f>
        <v>1</v>
      </c>
      <c r="J107" s="25">
        <v>1</v>
      </c>
      <c r="L107" s="25" t="str">
        <f>SUBSTITUTE(Table1[[#This Row],[TeamID]],Table1[[#This Row],[Team Captain]]&amp;"/","")</f>
        <v>Tony</v>
      </c>
      <c r="R107" s="26">
        <f>Table1[[#This Row],[P-G1-AS]]+Table1[[#This Row],[P-G2-AS]]+Table1[[#This Row],[P-G3-AS]]+Table1[[#This Row],[P-G4-AS]]+Table1[[#This Row],[P-G5-AS]]</f>
        <v>0</v>
      </c>
      <c r="S107" s="25">
        <v>40.42</v>
      </c>
      <c r="T107" s="25">
        <v>0</v>
      </c>
      <c r="W107" s="25">
        <v>34.950000000000003</v>
      </c>
      <c r="X107" s="25">
        <v>1</v>
      </c>
      <c r="Y107" s="25" t="s">
        <v>101</v>
      </c>
      <c r="Z107" s="25">
        <v>8</v>
      </c>
      <c r="AA107" s="26">
        <f>(S107+W107)/2</f>
        <v>37.685000000000002</v>
      </c>
      <c r="AB107" s="25">
        <v>1.25</v>
      </c>
      <c r="AC107" s="25">
        <v>1</v>
      </c>
      <c r="AE107" s="25">
        <v>0.96</v>
      </c>
      <c r="AF107" s="25">
        <v>0</v>
      </c>
      <c r="AH107" s="26">
        <f>(AB107+AE107)/2</f>
        <v>1.105</v>
      </c>
      <c r="AI107" s="25">
        <v>29.3</v>
      </c>
      <c r="AJ107" s="25" t="s">
        <v>55</v>
      </c>
      <c r="AK107" s="25">
        <v>73</v>
      </c>
      <c r="AN107" s="25">
        <v>0</v>
      </c>
      <c r="AO107" s="26">
        <f>T107+AC107+AN107+AF107+X107</f>
        <v>2</v>
      </c>
    </row>
    <row r="108" spans="1:41" hidden="1">
      <c r="A108" s="25" t="s">
        <v>79</v>
      </c>
      <c r="B108" s="25" t="s">
        <v>82</v>
      </c>
      <c r="C108" s="25" t="s">
        <v>43</v>
      </c>
      <c r="D108" s="25" t="s">
        <v>90</v>
      </c>
      <c r="E108" s="25" t="str">
        <f>LEFT(Table1[[#This Row],[TeamID]],FIND("/",Table1[[#This Row],[TeamID]])-1)</f>
        <v>Todd</v>
      </c>
      <c r="F108" s="26">
        <f>Table1[[#This Row],[TC-G1-AS]]+Table1[[#This Row],[TC-G2-AS]]+Table1[[#This Row],[TC-G3-AS]]+Table1[[#This Row],[TC-G4-AS]]+Table1[[#This Row],[TC-G5-AS]]</f>
        <v>1</v>
      </c>
      <c r="J108" s="25">
        <v>1</v>
      </c>
      <c r="L108" s="25" t="str">
        <f>SUBSTITUTE(Table1[[#This Row],[TeamID]],Table1[[#This Row],[Team Captain]]&amp;"/","")</f>
        <v>Mike H</v>
      </c>
      <c r="R108" s="26">
        <f>Table1[[#This Row],[P-G1-AS]]+Table1[[#This Row],[P-G2-AS]]+Table1[[#This Row],[P-G3-AS]]+Table1[[#This Row],[P-G4-AS]]+Table1[[#This Row],[P-G5-AS]]</f>
        <v>0</v>
      </c>
      <c r="S108" s="25">
        <v>20.23</v>
      </c>
      <c r="T108" s="25">
        <v>0</v>
      </c>
      <c r="W108" s="25">
        <v>29.47</v>
      </c>
      <c r="X108" s="25">
        <v>1</v>
      </c>
      <c r="Y108" s="25" t="s">
        <v>92</v>
      </c>
      <c r="Z108" s="25">
        <v>67</v>
      </c>
      <c r="AA108" s="26">
        <f>(S108+W108)/2</f>
        <v>24.85</v>
      </c>
      <c r="AB108" s="25">
        <v>0.89</v>
      </c>
      <c r="AC108" s="25">
        <v>0</v>
      </c>
      <c r="AE108" s="25">
        <v>1.04</v>
      </c>
      <c r="AF108" s="25">
        <v>1</v>
      </c>
      <c r="AH108" s="26">
        <f>(AB108+AE108)/2</f>
        <v>0.96500000000000008</v>
      </c>
      <c r="AI108" s="25">
        <v>19.7</v>
      </c>
      <c r="AJ108" s="25" t="s">
        <v>92</v>
      </c>
      <c r="AK108" s="25">
        <v>35</v>
      </c>
      <c r="AN108" s="25">
        <v>0</v>
      </c>
      <c r="AO108" s="26">
        <f>T108+AC108+AN108+AF108+X108</f>
        <v>2</v>
      </c>
    </row>
    <row r="109" spans="1:41" hidden="1">
      <c r="A109" s="25" t="s">
        <v>79</v>
      </c>
      <c r="B109" s="25" t="s">
        <v>82</v>
      </c>
      <c r="C109" s="25" t="s">
        <v>45</v>
      </c>
      <c r="D109" s="25" t="s">
        <v>98</v>
      </c>
      <c r="E109" s="25" t="str">
        <f>LEFT(Table1[[#This Row],[TeamID]],FIND("/",Table1[[#This Row],[TeamID]])-1)</f>
        <v>Jason</v>
      </c>
      <c r="F109" s="26">
        <f>Table1[[#This Row],[TC-G1-AS]]+Table1[[#This Row],[TC-G2-AS]]+Table1[[#This Row],[TC-G3-AS]]+Table1[[#This Row],[TC-G4-AS]]+Table1[[#This Row],[TC-G5-AS]]</f>
        <v>0</v>
      </c>
      <c r="L109" s="25" t="str">
        <f>SUBSTITUTE(Table1[[#This Row],[TeamID]],Table1[[#This Row],[Team Captain]]&amp;"/","")</f>
        <v>Olver</v>
      </c>
      <c r="P109" s="25">
        <v>1</v>
      </c>
      <c r="R109" s="26">
        <f>Table1[[#This Row],[P-G1-AS]]+Table1[[#This Row],[P-G2-AS]]+Table1[[#This Row],[P-G3-AS]]+Table1[[#This Row],[P-G4-AS]]+Table1[[#This Row],[P-G5-AS]]</f>
        <v>1</v>
      </c>
      <c r="S109" s="25">
        <v>19.05</v>
      </c>
      <c r="T109" s="25">
        <v>1</v>
      </c>
      <c r="U109" s="25" t="s">
        <v>99</v>
      </c>
      <c r="V109" s="25">
        <v>4</v>
      </c>
      <c r="W109" s="25">
        <v>30.45</v>
      </c>
      <c r="X109" s="25">
        <v>0</v>
      </c>
      <c r="AA109" s="26">
        <f>(S109+W109)/2</f>
        <v>24.75</v>
      </c>
      <c r="AB109" s="25">
        <v>1.04</v>
      </c>
      <c r="AC109" s="25">
        <v>1</v>
      </c>
      <c r="AE109" s="25">
        <v>0.92</v>
      </c>
      <c r="AF109" s="25">
        <v>0</v>
      </c>
      <c r="AH109" s="26">
        <f>(AB109+AE109)/2</f>
        <v>0.98</v>
      </c>
      <c r="AI109" s="25">
        <v>32.25</v>
      </c>
      <c r="AJ109" s="25" t="s">
        <v>99</v>
      </c>
      <c r="AK109" s="25">
        <v>40</v>
      </c>
      <c r="AL109" s="25" t="s">
        <v>103</v>
      </c>
      <c r="AM109" s="25">
        <v>10</v>
      </c>
      <c r="AN109" s="25">
        <v>1</v>
      </c>
      <c r="AO109" s="26">
        <f>T109+AC109+AN109+AF109+X109</f>
        <v>3</v>
      </c>
    </row>
    <row r="110" spans="1:41" hidden="1">
      <c r="A110" s="25" t="s">
        <v>80</v>
      </c>
      <c r="B110" s="25" t="s">
        <v>82</v>
      </c>
      <c r="C110" s="25" t="s">
        <v>43</v>
      </c>
      <c r="D110" s="25" t="s">
        <v>95</v>
      </c>
      <c r="E110" s="25" t="str">
        <f>LEFT(Table1[[#This Row],[TeamID]],FIND("/",Table1[[#This Row],[TeamID]])-1)</f>
        <v>Brian</v>
      </c>
      <c r="F110" s="26">
        <f>Table1[[#This Row],[TC-G1-AS]]+Table1[[#This Row],[TC-G2-AS]]+Table1[[#This Row],[TC-G3-AS]]+Table1[[#This Row],[TC-G4-AS]]+Table1[[#This Row],[TC-G5-AS]]</f>
        <v>1</v>
      </c>
      <c r="J110" s="25">
        <v>1</v>
      </c>
      <c r="L110" s="25" t="str">
        <f>SUBSTITUTE(Table1[[#This Row],[TeamID]],Table1[[#This Row],[Team Captain]]&amp;"/","")</f>
        <v>Neil</v>
      </c>
      <c r="O110" s="25">
        <v>1</v>
      </c>
      <c r="R110" s="26">
        <f>Table1[[#This Row],[P-G1-AS]]+Table1[[#This Row],[P-G2-AS]]+Table1[[#This Row],[P-G3-AS]]+Table1[[#This Row],[P-G4-AS]]+Table1[[#This Row],[P-G5-AS]]</f>
        <v>1</v>
      </c>
      <c r="S110" s="25">
        <v>22.68</v>
      </c>
      <c r="T110" s="25">
        <v>1</v>
      </c>
      <c r="U110" s="25" t="s">
        <v>96</v>
      </c>
      <c r="V110" s="25">
        <v>2</v>
      </c>
      <c r="W110" s="25">
        <v>34.6</v>
      </c>
      <c r="X110" s="25">
        <v>0</v>
      </c>
      <c r="AA110" s="26">
        <f>(S110+W110)/2</f>
        <v>28.64</v>
      </c>
      <c r="AB110" s="25">
        <v>1.0900000000000001</v>
      </c>
      <c r="AC110" s="25">
        <v>1</v>
      </c>
      <c r="AE110" s="25">
        <v>1.52</v>
      </c>
      <c r="AF110" s="25">
        <v>1</v>
      </c>
      <c r="AH110" s="26">
        <f>(AB110+AE110)/2</f>
        <v>1.3050000000000002</v>
      </c>
      <c r="AI110" s="25">
        <v>23.15</v>
      </c>
      <c r="AJ110" s="25" t="s">
        <v>96</v>
      </c>
      <c r="AK110" s="25">
        <v>56</v>
      </c>
      <c r="AL110" s="25" t="s">
        <v>96</v>
      </c>
      <c r="AM110" s="25">
        <v>10</v>
      </c>
      <c r="AN110" s="25">
        <v>1</v>
      </c>
      <c r="AO110" s="26">
        <f>T110+AC110+AN110+AF110+X110</f>
        <v>4</v>
      </c>
    </row>
    <row r="111" spans="1:41" hidden="1">
      <c r="A111" s="25" t="s">
        <v>80</v>
      </c>
      <c r="B111" s="25" t="s">
        <v>82</v>
      </c>
      <c r="C111" s="25" t="s">
        <v>45</v>
      </c>
      <c r="D111" s="25" t="s">
        <v>83</v>
      </c>
      <c r="E111" s="25" t="str">
        <f>LEFT(Table1[[#This Row],[TeamID]],FIND("/",Table1[[#This Row],[TeamID]])-1)</f>
        <v>Mark</v>
      </c>
      <c r="F111" s="26">
        <f>Table1[[#This Row],[TC-G1-AS]]+Table1[[#This Row],[TC-G2-AS]]+Table1[[#This Row],[TC-G3-AS]]+Table1[[#This Row],[TC-G4-AS]]+Table1[[#This Row],[TC-G5-AS]]</f>
        <v>1</v>
      </c>
      <c r="H111" s="25">
        <v>1</v>
      </c>
      <c r="L111" s="25" t="str">
        <f>SUBSTITUTE(Table1[[#This Row],[TeamID]],Table1[[#This Row],[Team Captain]]&amp;"/","")</f>
        <v>Mike C</v>
      </c>
      <c r="O111" s="25">
        <v>1</v>
      </c>
      <c r="R111" s="26">
        <f>Table1[[#This Row],[P-G1-AS]]+Table1[[#This Row],[P-G2-AS]]+Table1[[#This Row],[P-G3-AS]]+Table1[[#This Row],[P-G4-AS]]+Table1[[#This Row],[P-G5-AS]]</f>
        <v>1</v>
      </c>
      <c r="S111" s="25">
        <v>22.43</v>
      </c>
      <c r="T111" s="25">
        <v>0</v>
      </c>
      <c r="W111" s="25">
        <v>37.57</v>
      </c>
      <c r="X111" s="25">
        <v>1</v>
      </c>
      <c r="AA111" s="26">
        <f>(S111+W111)/2</f>
        <v>30</v>
      </c>
      <c r="AB111" s="25">
        <v>1.0900000000000001</v>
      </c>
      <c r="AC111" s="25">
        <v>0</v>
      </c>
      <c r="AE111" s="25">
        <v>1.1000000000000001</v>
      </c>
      <c r="AF111" s="25">
        <v>0</v>
      </c>
      <c r="AH111" s="26">
        <f>(AB111+AE111)/2</f>
        <v>1.0950000000000002</v>
      </c>
      <c r="AI111" s="25">
        <v>23.75</v>
      </c>
      <c r="AJ111" s="25" t="s">
        <v>102</v>
      </c>
      <c r="AK111" s="25">
        <v>26</v>
      </c>
      <c r="AN111" s="25">
        <v>0</v>
      </c>
      <c r="AO111" s="26">
        <f>T111+AC111+AN111+AF111+X111</f>
        <v>1</v>
      </c>
    </row>
    <row r="112" spans="1:41" hidden="1">
      <c r="A112" s="25" t="s">
        <v>81</v>
      </c>
      <c r="B112" s="25" t="s">
        <v>82</v>
      </c>
      <c r="C112" s="25" t="s">
        <v>43</v>
      </c>
      <c r="D112" s="25" t="s">
        <v>93</v>
      </c>
      <c r="E112" s="25" t="str">
        <f>LEFT(Table1[[#This Row],[TeamID]],FIND("/",Table1[[#This Row],[TeamID]])-1)</f>
        <v>Mike A</v>
      </c>
      <c r="F112" s="26">
        <f>Table1[[#This Row],[TC-G1-AS]]+Table1[[#This Row],[TC-G2-AS]]+Table1[[#This Row],[TC-G3-AS]]+Table1[[#This Row],[TC-G4-AS]]+Table1[[#This Row],[TC-G5-AS]]</f>
        <v>1</v>
      </c>
      <c r="H112" s="25">
        <v>1</v>
      </c>
      <c r="L112" s="25" t="str">
        <f>SUBSTITUTE(Table1[[#This Row],[TeamID]],Table1[[#This Row],[Team Captain]]&amp;"/","")</f>
        <v>Paul</v>
      </c>
      <c r="Q112" s="25">
        <v>1</v>
      </c>
      <c r="R112" s="26">
        <f>Table1[[#This Row],[P-G1-AS]]+Table1[[#This Row],[P-G2-AS]]+Table1[[#This Row],[P-G3-AS]]+Table1[[#This Row],[P-G4-AS]]+Table1[[#This Row],[P-G5-AS]]</f>
        <v>1</v>
      </c>
      <c r="S112" s="25">
        <v>40.619999999999997</v>
      </c>
      <c r="T112" s="25">
        <v>1</v>
      </c>
      <c r="U112" s="25" t="s">
        <v>57</v>
      </c>
      <c r="V112" s="25">
        <v>16</v>
      </c>
      <c r="W112" s="25">
        <v>45.48</v>
      </c>
      <c r="X112" s="25">
        <v>1</v>
      </c>
      <c r="Y112" s="25" t="s">
        <v>94</v>
      </c>
      <c r="Z112" s="25">
        <v>20</v>
      </c>
      <c r="AA112" s="26">
        <f>(S112+W112)/2</f>
        <v>43.05</v>
      </c>
      <c r="AB112" s="25">
        <v>1.28</v>
      </c>
      <c r="AC112" s="25">
        <v>0</v>
      </c>
      <c r="AE112" s="25">
        <v>1.22</v>
      </c>
      <c r="AF112" s="25">
        <v>1</v>
      </c>
      <c r="AH112" s="26">
        <f>(AB112+AE112)/2</f>
        <v>1.25</v>
      </c>
      <c r="AI112" s="25">
        <v>28.2</v>
      </c>
      <c r="AJ112" s="25" t="s">
        <v>57</v>
      </c>
      <c r="AK112" s="25">
        <v>42</v>
      </c>
      <c r="AL112" s="25" t="s">
        <v>57</v>
      </c>
      <c r="AM112" s="25">
        <v>4</v>
      </c>
      <c r="AN112" s="25">
        <v>1</v>
      </c>
      <c r="AO112" s="26">
        <f>T112+AC112+AN112+AF112+X112</f>
        <v>4</v>
      </c>
    </row>
    <row r="113" spans="1:41" hidden="1">
      <c r="A113" s="25" t="s">
        <v>81</v>
      </c>
      <c r="B113" s="25" t="s">
        <v>82</v>
      </c>
      <c r="C113" s="25" t="s">
        <v>45</v>
      </c>
      <c r="D113" s="25" t="s">
        <v>88</v>
      </c>
      <c r="E113" s="25" t="str">
        <f>LEFT(Table1[[#This Row],[TeamID]],FIND("/",Table1[[#This Row],[TeamID]])-1)</f>
        <v>Daniel</v>
      </c>
      <c r="F113" s="26">
        <f>Table1[[#This Row],[TC-G1-AS]]+Table1[[#This Row],[TC-G2-AS]]+Table1[[#This Row],[TC-G3-AS]]+Table1[[#This Row],[TC-G4-AS]]+Table1[[#This Row],[TC-G5-AS]]</f>
        <v>2</v>
      </c>
      <c r="G113" s="25">
        <v>1</v>
      </c>
      <c r="I113" s="25">
        <v>1</v>
      </c>
      <c r="L113" s="25" t="str">
        <f>SUBSTITUTE(Table1[[#This Row],[TeamID]],Table1[[#This Row],[Team Captain]]&amp;"/","")</f>
        <v>Matt</v>
      </c>
      <c r="P113" s="25">
        <v>1</v>
      </c>
      <c r="R113" s="26">
        <f>Table1[[#This Row],[P-G1-AS]]+Table1[[#This Row],[P-G2-AS]]+Table1[[#This Row],[P-G3-AS]]+Table1[[#This Row],[P-G4-AS]]+Table1[[#This Row],[P-G5-AS]]</f>
        <v>1</v>
      </c>
      <c r="S113" s="25">
        <v>38.229999999999997</v>
      </c>
      <c r="T113" s="25">
        <v>0</v>
      </c>
      <c r="W113" s="25">
        <v>46.1</v>
      </c>
      <c r="X113" s="25">
        <v>0</v>
      </c>
      <c r="AA113" s="26">
        <f>(S113+W113)/2</f>
        <v>42.164999999999999</v>
      </c>
      <c r="AB113" s="25">
        <v>1.58</v>
      </c>
      <c r="AC113" s="25">
        <v>1</v>
      </c>
      <c r="AE113" s="25">
        <v>1.27</v>
      </c>
      <c r="AF113" s="25">
        <v>0</v>
      </c>
      <c r="AH113" s="26">
        <f>(AB113+AE113)/2</f>
        <v>1.425</v>
      </c>
      <c r="AI113" s="25">
        <v>25.09</v>
      </c>
      <c r="AJ113" s="25" t="s">
        <v>89</v>
      </c>
      <c r="AK113" s="25">
        <v>30</v>
      </c>
      <c r="AN113" s="25">
        <v>0</v>
      </c>
      <c r="AO113" s="26">
        <f>T113+AC113+AN113+AF113+X113</f>
        <v>1</v>
      </c>
    </row>
    <row r="114" spans="1:41" ht="15" hidden="1" customHeight="1">
      <c r="A114" s="25" t="s">
        <v>41</v>
      </c>
      <c r="B114" s="25" t="s">
        <v>107</v>
      </c>
      <c r="C114" s="25" t="s">
        <v>43</v>
      </c>
      <c r="D114" s="25" t="s">
        <v>108</v>
      </c>
      <c r="E114" s="25" t="str">
        <f>LEFT(Table1[[#This Row],[TeamID]],FIND("/",Table1[[#This Row],[TeamID]])-1)</f>
        <v>Brian</v>
      </c>
      <c r="F114" s="26">
        <f>Table1[[#This Row],[TC-G1-AS]]+Table1[[#This Row],[TC-G2-AS]]+Table1[[#This Row],[TC-G3-AS]]+Table1[[#This Row],[TC-G4-AS]]+Table1[[#This Row],[TC-G5-AS]]</f>
        <v>0</v>
      </c>
      <c r="L114" s="25" t="str">
        <f>SUBSTITUTE(Table1[[#This Row],[TeamID]],Table1[[#This Row],[Team Captain]]&amp;"/","")</f>
        <v>Tony</v>
      </c>
      <c r="O114" s="25">
        <v>1</v>
      </c>
      <c r="R114" s="26">
        <f>Table1[[#This Row],[P-G1-AS]]+Table1[[#This Row],[P-G2-AS]]+Table1[[#This Row],[P-G3-AS]]+Table1[[#This Row],[P-G4-AS]]+Table1[[#This Row],[P-G5-AS]]</f>
        <v>1</v>
      </c>
      <c r="S114" s="25">
        <v>34</v>
      </c>
      <c r="T114" s="25">
        <v>0</v>
      </c>
      <c r="W114" s="25">
        <v>34</v>
      </c>
      <c r="X114" s="25">
        <v>0</v>
      </c>
      <c r="AA114" s="26">
        <f t="shared" ref="AA114:AA165" si="6">(S114+W114)/2</f>
        <v>34</v>
      </c>
      <c r="AB114" s="25">
        <v>1.23</v>
      </c>
      <c r="AC114" s="25">
        <v>0</v>
      </c>
      <c r="AE114" s="25">
        <v>1.29</v>
      </c>
      <c r="AF114" s="25">
        <v>0</v>
      </c>
      <c r="AH114" s="26">
        <f t="shared" ref="AH114:AH145" si="7">(AB114+AE114)/2</f>
        <v>1.26</v>
      </c>
      <c r="AI114" s="25">
        <v>32.25</v>
      </c>
      <c r="AJ114" s="25" t="s">
        <v>96</v>
      </c>
      <c r="AK114" s="25">
        <v>22</v>
      </c>
      <c r="AL114" s="25" t="s">
        <v>101</v>
      </c>
      <c r="AM114" s="25">
        <v>10</v>
      </c>
      <c r="AN114" s="25">
        <v>1</v>
      </c>
      <c r="AO114" s="26">
        <f t="shared" ref="AO114:AO145" si="8">T114+AC114+AN114+AF114+X114</f>
        <v>1</v>
      </c>
    </row>
    <row r="115" spans="1:41" ht="15" hidden="1" customHeight="1">
      <c r="A115" s="25" t="s">
        <v>41</v>
      </c>
      <c r="B115" s="25" t="s">
        <v>107</v>
      </c>
      <c r="C115" s="25" t="s">
        <v>45</v>
      </c>
      <c r="D115" s="25" t="s">
        <v>109</v>
      </c>
      <c r="E115" s="25" t="str">
        <f>LEFT(Table1[[#This Row],[TeamID]],FIND("/",Table1[[#This Row],[TeamID]])-1)</f>
        <v>Todd</v>
      </c>
      <c r="F115" s="26">
        <f>Table1[[#This Row],[TC-G1-AS]]+Table1[[#This Row],[TC-G2-AS]]+Table1[[#This Row],[TC-G3-AS]]+Table1[[#This Row],[TC-G4-AS]]+Table1[[#This Row],[TC-G5-AS]]</f>
        <v>0</v>
      </c>
      <c r="L115" s="25" t="str">
        <f>SUBSTITUTE(Table1[[#This Row],[TeamID]],Table1[[#This Row],[Team Captain]]&amp;"/","")</f>
        <v>Mark</v>
      </c>
      <c r="N115" s="25">
        <v>1</v>
      </c>
      <c r="Q115" s="25">
        <v>1</v>
      </c>
      <c r="R115" s="26">
        <f>Table1[[#This Row],[P-G1-AS]]+Table1[[#This Row],[P-G2-AS]]+Table1[[#This Row],[P-G3-AS]]+Table1[[#This Row],[P-G4-AS]]+Table1[[#This Row],[P-G5-AS]]</f>
        <v>2</v>
      </c>
      <c r="S115" s="25">
        <v>36.659999999999997</v>
      </c>
      <c r="T115" s="25">
        <v>1</v>
      </c>
      <c r="U115" s="25" t="s">
        <v>102</v>
      </c>
      <c r="V115" s="25">
        <v>16</v>
      </c>
      <c r="W115" s="25">
        <v>36.659999999999997</v>
      </c>
      <c r="X115" s="25">
        <v>1</v>
      </c>
      <c r="Y115" s="25" t="s">
        <v>92</v>
      </c>
      <c r="Z115" s="25">
        <v>32</v>
      </c>
      <c r="AA115" s="26">
        <f t="shared" si="6"/>
        <v>36.659999999999997</v>
      </c>
      <c r="AB115" s="25">
        <v>1.36</v>
      </c>
      <c r="AC115" s="25">
        <v>1</v>
      </c>
      <c r="AE115" s="25">
        <v>1.53</v>
      </c>
      <c r="AF115" s="25">
        <v>1</v>
      </c>
      <c r="AH115" s="26">
        <f t="shared" si="7"/>
        <v>1.4450000000000001</v>
      </c>
      <c r="AI115" s="25">
        <v>32.78</v>
      </c>
      <c r="AJ115" s="25" t="s">
        <v>102</v>
      </c>
      <c r="AK115" s="25">
        <v>40</v>
      </c>
      <c r="AN115" s="25">
        <v>0</v>
      </c>
      <c r="AO115" s="26">
        <f t="shared" si="8"/>
        <v>4</v>
      </c>
    </row>
    <row r="116" spans="1:41" ht="15" hidden="1" customHeight="1">
      <c r="A116" s="25" t="s">
        <v>47</v>
      </c>
      <c r="B116" s="25" t="s">
        <v>107</v>
      </c>
      <c r="C116" s="25" t="s">
        <v>43</v>
      </c>
      <c r="D116" s="25" t="s">
        <v>110</v>
      </c>
      <c r="E116" s="25" t="str">
        <f>LEFT(Table1[[#This Row],[TeamID]],FIND("/",Table1[[#This Row],[TeamID]])-1)</f>
        <v>Neil</v>
      </c>
      <c r="F116" s="26">
        <f>Table1[[#This Row],[TC-G1-AS]]+Table1[[#This Row],[TC-G2-AS]]+Table1[[#This Row],[TC-G3-AS]]+Table1[[#This Row],[TC-G4-AS]]+Table1[[#This Row],[TC-G5-AS]]</f>
        <v>2</v>
      </c>
      <c r="J116" s="25">
        <v>1</v>
      </c>
      <c r="K116" s="25">
        <v>1</v>
      </c>
      <c r="L116" s="25" t="str">
        <f>SUBSTITUTE(Table1[[#This Row],[TeamID]],Table1[[#This Row],[Team Captain]]&amp;"/","")</f>
        <v>Clarence</v>
      </c>
      <c r="N116" s="25">
        <v>1</v>
      </c>
      <c r="R116" s="26">
        <f>Table1[[#This Row],[P-G1-AS]]+Table1[[#This Row],[P-G2-AS]]+Table1[[#This Row],[P-G3-AS]]+Table1[[#This Row],[P-G4-AS]]+Table1[[#This Row],[P-G5-AS]]</f>
        <v>1</v>
      </c>
      <c r="S116" s="25">
        <v>24.24</v>
      </c>
      <c r="T116" s="25">
        <v>1</v>
      </c>
      <c r="U116" s="25" t="s">
        <v>87</v>
      </c>
      <c r="V116" s="25">
        <v>8</v>
      </c>
      <c r="W116" s="25">
        <v>30.06</v>
      </c>
      <c r="X116" s="25">
        <v>1</v>
      </c>
      <c r="Y116" s="25" t="s">
        <v>97</v>
      </c>
      <c r="Z116" s="25">
        <v>2</v>
      </c>
      <c r="AA116" s="26">
        <f t="shared" si="6"/>
        <v>27.15</v>
      </c>
      <c r="AB116" s="25">
        <v>0.67</v>
      </c>
      <c r="AC116" s="25">
        <v>0</v>
      </c>
      <c r="AE116" s="25">
        <v>1.1499999999999999</v>
      </c>
      <c r="AF116" s="25">
        <v>1</v>
      </c>
      <c r="AH116" s="26">
        <f t="shared" si="7"/>
        <v>0.90999999999999992</v>
      </c>
      <c r="AI116" s="25">
        <v>33.25</v>
      </c>
      <c r="AJ116" s="25" t="s">
        <v>87</v>
      </c>
      <c r="AK116" s="25">
        <v>34</v>
      </c>
      <c r="AN116" s="25">
        <v>0</v>
      </c>
      <c r="AO116" s="26">
        <f t="shared" si="8"/>
        <v>3</v>
      </c>
    </row>
    <row r="117" spans="1:41" ht="15" hidden="1" customHeight="1">
      <c r="A117" s="25" t="s">
        <v>47</v>
      </c>
      <c r="B117" s="25" t="s">
        <v>107</v>
      </c>
      <c r="C117" s="25" t="s">
        <v>45</v>
      </c>
      <c r="D117" s="25" t="s">
        <v>111</v>
      </c>
      <c r="E117" s="25" t="str">
        <f>LEFT(Table1[[#This Row],[TeamID]],FIND("/",Table1[[#This Row],[TeamID]])-1)</f>
        <v>Kevin</v>
      </c>
      <c r="F117" s="26">
        <f>Table1[[#This Row],[TC-G1-AS]]+Table1[[#This Row],[TC-G2-AS]]+Table1[[#This Row],[TC-G3-AS]]+Table1[[#This Row],[TC-G4-AS]]+Table1[[#This Row],[TC-G5-AS]]</f>
        <v>0</v>
      </c>
      <c r="L117" s="25" t="str">
        <f>SUBSTITUTE(Table1[[#This Row],[TeamID]],Table1[[#This Row],[Team Captain]]&amp;"/","")</f>
        <v>Art</v>
      </c>
      <c r="M117" s="25">
        <v>1</v>
      </c>
      <c r="R117" s="26">
        <f>Table1[[#This Row],[P-G1-AS]]+Table1[[#This Row],[P-G2-AS]]+Table1[[#This Row],[P-G3-AS]]+Table1[[#This Row],[P-G4-AS]]+Table1[[#This Row],[P-G5-AS]]</f>
        <v>1</v>
      </c>
      <c r="S117" s="25">
        <v>23.52</v>
      </c>
      <c r="T117" s="25">
        <v>0</v>
      </c>
      <c r="W117" s="25">
        <v>30.056000000000001</v>
      </c>
      <c r="X117" s="25">
        <v>0</v>
      </c>
      <c r="AA117" s="26">
        <f t="shared" si="6"/>
        <v>26.788</v>
      </c>
      <c r="AB117" s="25">
        <v>1.27</v>
      </c>
      <c r="AC117" s="25">
        <v>1</v>
      </c>
      <c r="AE117" s="27">
        <v>1</v>
      </c>
      <c r="AF117" s="25">
        <v>0</v>
      </c>
      <c r="AH117" s="26">
        <f t="shared" si="7"/>
        <v>1.135</v>
      </c>
      <c r="AI117" s="25">
        <v>33.44</v>
      </c>
      <c r="AJ117" s="25" t="s">
        <v>55</v>
      </c>
      <c r="AK117" s="25">
        <v>14</v>
      </c>
      <c r="AL117" s="25" t="s">
        <v>55</v>
      </c>
      <c r="AM117" s="25">
        <v>43</v>
      </c>
      <c r="AN117" s="25">
        <v>1</v>
      </c>
      <c r="AO117" s="26">
        <f t="shared" si="8"/>
        <v>2</v>
      </c>
    </row>
    <row r="118" spans="1:41" ht="15" hidden="1" customHeight="1">
      <c r="A118" s="25" t="s">
        <v>50</v>
      </c>
      <c r="B118" s="25" t="s">
        <v>107</v>
      </c>
      <c r="C118" s="25" t="s">
        <v>43</v>
      </c>
      <c r="D118" s="25" t="s">
        <v>112</v>
      </c>
      <c r="E118" s="25" t="str">
        <f>LEFT(Table1[[#This Row],[TeamID]],FIND("/",Table1[[#This Row],[TeamID]])-1)</f>
        <v>Mike H</v>
      </c>
      <c r="F118" s="26">
        <f>Table1[[#This Row],[TC-G1-AS]]+Table1[[#This Row],[TC-G2-AS]]+Table1[[#This Row],[TC-G3-AS]]+Table1[[#This Row],[TC-G4-AS]]+Table1[[#This Row],[TC-G5-AS]]</f>
        <v>0</v>
      </c>
      <c r="L118" s="25" t="str">
        <f>SUBSTITUTE(Table1[[#This Row],[TeamID]],Table1[[#This Row],[Team Captain]]&amp;"/","")</f>
        <v>Paul</v>
      </c>
      <c r="Q118" s="25">
        <v>1</v>
      </c>
      <c r="R118" s="26">
        <f>Table1[[#This Row],[P-G1-AS]]+Table1[[#This Row],[P-G2-AS]]+Table1[[#This Row],[P-G3-AS]]+Table1[[#This Row],[P-G4-AS]]+Table1[[#This Row],[P-G5-AS]]</f>
        <v>1</v>
      </c>
      <c r="S118" s="25">
        <v>22.36</v>
      </c>
      <c r="T118" s="25">
        <v>0</v>
      </c>
      <c r="W118" s="25">
        <v>31.23</v>
      </c>
      <c r="X118" s="25">
        <v>0</v>
      </c>
      <c r="AA118" s="26">
        <f t="shared" si="6"/>
        <v>26.795000000000002</v>
      </c>
      <c r="AB118" s="25">
        <v>1.42</v>
      </c>
      <c r="AC118" s="25">
        <v>1</v>
      </c>
      <c r="AE118" s="25">
        <v>1.45</v>
      </c>
      <c r="AF118" s="25">
        <v>1</v>
      </c>
      <c r="AH118" s="26">
        <f t="shared" si="7"/>
        <v>1.4350000000000001</v>
      </c>
      <c r="AI118" s="25">
        <v>21</v>
      </c>
      <c r="AJ118" s="25" t="s">
        <v>94</v>
      </c>
      <c r="AK118" s="25">
        <v>30</v>
      </c>
      <c r="AN118" s="25">
        <v>0</v>
      </c>
      <c r="AO118" s="26">
        <f t="shared" si="8"/>
        <v>2</v>
      </c>
    </row>
    <row r="119" spans="1:41" ht="15" hidden="1" customHeight="1">
      <c r="A119" s="25" t="s">
        <v>50</v>
      </c>
      <c r="B119" s="25" t="s">
        <v>107</v>
      </c>
      <c r="C119" s="25" t="s">
        <v>45</v>
      </c>
      <c r="D119" s="25" t="s">
        <v>44</v>
      </c>
      <c r="E119" s="25" t="str">
        <f>LEFT(Table1[[#This Row],[TeamID]],FIND("/",Table1[[#This Row],[TeamID]])-1)</f>
        <v>Daniel</v>
      </c>
      <c r="F119" s="26">
        <f>Table1[[#This Row],[TC-G1-AS]]+Table1[[#This Row],[TC-G2-AS]]+Table1[[#This Row],[TC-G3-AS]]+Table1[[#This Row],[TC-G4-AS]]+Table1[[#This Row],[TC-G5-AS]]</f>
        <v>1</v>
      </c>
      <c r="K119" s="25">
        <v>1</v>
      </c>
      <c r="L119" s="25" t="str">
        <f>SUBSTITUTE(Table1[[#This Row],[TeamID]],Table1[[#This Row],[Team Captain]]&amp;"/","")</f>
        <v>David</v>
      </c>
      <c r="O119" s="25">
        <v>1</v>
      </c>
      <c r="R119" s="26">
        <f>Table1[[#This Row],[P-G1-AS]]+Table1[[#This Row],[P-G2-AS]]+Table1[[#This Row],[P-G3-AS]]+Table1[[#This Row],[P-G4-AS]]+Table1[[#This Row],[P-G5-AS]]</f>
        <v>1</v>
      </c>
      <c r="S119" s="25">
        <v>23.12</v>
      </c>
      <c r="T119" s="25">
        <v>1</v>
      </c>
      <c r="U119" s="25" t="s">
        <v>113</v>
      </c>
      <c r="V119" s="25">
        <v>4</v>
      </c>
      <c r="W119" s="25">
        <v>37.57</v>
      </c>
      <c r="X119" s="25">
        <v>1</v>
      </c>
      <c r="Y119" s="25" t="s">
        <v>89</v>
      </c>
      <c r="Z119" s="25">
        <v>4</v>
      </c>
      <c r="AA119" s="26">
        <f t="shared" si="6"/>
        <v>30.344999999999999</v>
      </c>
      <c r="AB119" s="25">
        <v>1.5</v>
      </c>
      <c r="AC119" s="25">
        <v>0</v>
      </c>
      <c r="AE119" s="25">
        <v>1</v>
      </c>
      <c r="AF119" s="25">
        <v>0</v>
      </c>
      <c r="AH119" s="26">
        <f t="shared" si="7"/>
        <v>1.25</v>
      </c>
      <c r="AI119" s="25">
        <v>23.76</v>
      </c>
      <c r="AJ119" s="25" t="s">
        <v>113</v>
      </c>
      <c r="AK119" s="25">
        <v>41</v>
      </c>
      <c r="AL119" s="25" t="s">
        <v>89</v>
      </c>
      <c r="AM119" s="25">
        <v>7</v>
      </c>
      <c r="AN119" s="25">
        <v>1</v>
      </c>
      <c r="AO119" s="26">
        <f t="shared" si="8"/>
        <v>3</v>
      </c>
    </row>
    <row r="120" spans="1:41" ht="15" hidden="1" customHeight="1">
      <c r="A120" s="25" t="s">
        <v>53</v>
      </c>
      <c r="B120" s="25" t="s">
        <v>107</v>
      </c>
      <c r="C120" s="25" t="s">
        <v>43</v>
      </c>
      <c r="D120" s="25" t="s">
        <v>114</v>
      </c>
      <c r="E120" s="25" t="str">
        <f>LEFT(Table1[[#This Row],[TeamID]],FIND("/",Table1[[#This Row],[TeamID]])-1)</f>
        <v>Tayven</v>
      </c>
      <c r="F120" s="26">
        <f>Table1[[#This Row],[TC-G1-AS]]+Table1[[#This Row],[TC-G2-AS]]+Table1[[#This Row],[TC-G3-AS]]+Table1[[#This Row],[TC-G4-AS]]+Table1[[#This Row],[TC-G5-AS]]</f>
        <v>0</v>
      </c>
      <c r="L120" s="25" t="str">
        <f>SUBSTITUTE(Table1[[#This Row],[TeamID]],Table1[[#This Row],[Team Captain]]&amp;"/","")</f>
        <v>Jeremy</v>
      </c>
      <c r="R120" s="26">
        <f>Table1[[#This Row],[P-G1-AS]]+Table1[[#This Row],[P-G2-AS]]+Table1[[#This Row],[P-G3-AS]]+Table1[[#This Row],[P-G4-AS]]+Table1[[#This Row],[P-G5-AS]]</f>
        <v>0</v>
      </c>
      <c r="S120" s="25">
        <v>45.4</v>
      </c>
      <c r="T120" s="25">
        <v>0</v>
      </c>
      <c r="W120" s="25">
        <v>36.200000000000003</v>
      </c>
      <c r="X120" s="25">
        <v>0</v>
      </c>
      <c r="AA120" s="26">
        <f t="shared" si="6"/>
        <v>40.799999999999997</v>
      </c>
      <c r="AB120" s="25">
        <v>1.2</v>
      </c>
      <c r="AC120" s="25">
        <v>1</v>
      </c>
      <c r="AE120" s="25">
        <v>1.19</v>
      </c>
      <c r="AF120" s="25">
        <v>0</v>
      </c>
      <c r="AH120" s="26">
        <f t="shared" si="7"/>
        <v>1.1949999999999998</v>
      </c>
      <c r="AI120" s="25">
        <v>17</v>
      </c>
      <c r="AJ120" s="25" t="s">
        <v>86</v>
      </c>
      <c r="AK120" s="25">
        <v>32</v>
      </c>
      <c r="AN120" s="25">
        <v>0</v>
      </c>
      <c r="AO120" s="26">
        <f t="shared" si="8"/>
        <v>1</v>
      </c>
    </row>
    <row r="121" spans="1:41" ht="15" hidden="1" customHeight="1">
      <c r="A121" s="25" t="s">
        <v>53</v>
      </c>
      <c r="B121" s="25" t="s">
        <v>107</v>
      </c>
      <c r="C121" s="25" t="s">
        <v>45</v>
      </c>
      <c r="D121" s="25" t="s">
        <v>115</v>
      </c>
      <c r="E121" s="25" t="str">
        <f>LEFT(Table1[[#This Row],[TeamID]],FIND("/",Table1[[#This Row],[TeamID]])-1)</f>
        <v>Mike A</v>
      </c>
      <c r="F121" s="26">
        <f>Table1[[#This Row],[TC-G1-AS]]+Table1[[#This Row],[TC-G2-AS]]+Table1[[#This Row],[TC-G3-AS]]+Table1[[#This Row],[TC-G4-AS]]+Table1[[#This Row],[TC-G5-AS]]</f>
        <v>1</v>
      </c>
      <c r="G121" s="25">
        <v>1</v>
      </c>
      <c r="L121" s="25" t="str">
        <f>SUBSTITUTE(Table1[[#This Row],[TeamID]],Table1[[#This Row],[Team Captain]]&amp;"/","")</f>
        <v>Mike C</v>
      </c>
      <c r="O121" s="25">
        <v>1</v>
      </c>
      <c r="R121" s="26">
        <f>Table1[[#This Row],[P-G1-AS]]+Table1[[#This Row],[P-G2-AS]]+Table1[[#This Row],[P-G3-AS]]+Table1[[#This Row],[P-G4-AS]]+Table1[[#This Row],[P-G5-AS]]</f>
        <v>1</v>
      </c>
      <c r="S121" s="25">
        <v>51.8</v>
      </c>
      <c r="T121" s="25">
        <v>1</v>
      </c>
      <c r="U121" s="25" t="s">
        <v>84</v>
      </c>
      <c r="V121" s="25">
        <v>33</v>
      </c>
      <c r="W121" s="25">
        <v>46.97</v>
      </c>
      <c r="X121" s="25">
        <v>1</v>
      </c>
      <c r="Y121" s="25" t="s">
        <v>84</v>
      </c>
      <c r="Z121" s="25">
        <v>37</v>
      </c>
      <c r="AA121" s="26">
        <f t="shared" si="6"/>
        <v>49.384999999999998</v>
      </c>
      <c r="AB121" s="25">
        <v>1.17</v>
      </c>
      <c r="AC121" s="25">
        <v>0</v>
      </c>
      <c r="AE121" s="25">
        <v>1.65</v>
      </c>
      <c r="AF121" s="25">
        <v>1</v>
      </c>
      <c r="AH121" s="26">
        <f t="shared" si="7"/>
        <v>1.41</v>
      </c>
      <c r="AI121" s="25">
        <v>37.619999999999997</v>
      </c>
      <c r="AJ121" s="25" t="s">
        <v>57</v>
      </c>
      <c r="AK121" s="25">
        <v>76</v>
      </c>
      <c r="AL121" s="25" t="s">
        <v>84</v>
      </c>
      <c r="AM121" s="25">
        <v>33</v>
      </c>
      <c r="AN121" s="25">
        <v>1</v>
      </c>
      <c r="AO121" s="26">
        <f t="shared" si="8"/>
        <v>4</v>
      </c>
    </row>
    <row r="122" spans="1:41" ht="15" hidden="1" customHeight="1">
      <c r="A122" s="25" t="s">
        <v>58</v>
      </c>
      <c r="B122" s="25" t="s">
        <v>107</v>
      </c>
      <c r="C122" s="25" t="s">
        <v>43</v>
      </c>
      <c r="D122" s="25" t="s">
        <v>114</v>
      </c>
      <c r="E122" s="25" t="str">
        <f>LEFT(Table1[[#This Row],[TeamID]],FIND("/",Table1[[#This Row],[TeamID]])-1)</f>
        <v>Tayven</v>
      </c>
      <c r="F122" s="26">
        <f>Table1[[#This Row],[TC-G1-AS]]+Table1[[#This Row],[TC-G2-AS]]+Table1[[#This Row],[TC-G3-AS]]+Table1[[#This Row],[TC-G4-AS]]+Table1[[#This Row],[TC-G5-AS]]</f>
        <v>1</v>
      </c>
      <c r="I122" s="25">
        <v>1</v>
      </c>
      <c r="L122" s="25" t="str">
        <f>SUBSTITUTE(Table1[[#This Row],[TeamID]],Table1[[#This Row],[Team Captain]]&amp;"/","")</f>
        <v>Jeremy</v>
      </c>
      <c r="O122" s="25">
        <v>1</v>
      </c>
      <c r="R122" s="26">
        <f>Table1[[#This Row],[P-G1-AS]]+Table1[[#This Row],[P-G2-AS]]+Table1[[#This Row],[P-G3-AS]]+Table1[[#This Row],[P-G4-AS]]+Table1[[#This Row],[P-G5-AS]]</f>
        <v>1</v>
      </c>
      <c r="S122" s="25">
        <v>53.69</v>
      </c>
      <c r="T122" s="25">
        <v>1</v>
      </c>
      <c r="U122" s="25" t="s">
        <v>116</v>
      </c>
      <c r="V122" s="25">
        <v>50</v>
      </c>
      <c r="W122" s="25">
        <v>37.380000000000003</v>
      </c>
      <c r="X122" s="25">
        <v>0</v>
      </c>
      <c r="AA122" s="26">
        <f t="shared" si="6"/>
        <v>45.534999999999997</v>
      </c>
      <c r="AB122" s="25">
        <v>1.86</v>
      </c>
      <c r="AC122" s="25">
        <v>1</v>
      </c>
      <c r="AE122" s="25">
        <v>1.86</v>
      </c>
      <c r="AF122" s="25">
        <v>0</v>
      </c>
      <c r="AH122" s="26">
        <f t="shared" si="7"/>
        <v>1.86</v>
      </c>
      <c r="AI122" s="25">
        <v>24.41</v>
      </c>
      <c r="AJ122" s="25" t="s">
        <v>116</v>
      </c>
      <c r="AK122" s="25">
        <v>19</v>
      </c>
      <c r="AL122" s="25" t="s">
        <v>86</v>
      </c>
      <c r="AM122" s="25">
        <v>14</v>
      </c>
      <c r="AN122" s="25">
        <v>1</v>
      </c>
      <c r="AO122" s="26">
        <f t="shared" si="8"/>
        <v>3</v>
      </c>
    </row>
    <row r="123" spans="1:41" ht="15" hidden="1" customHeight="1">
      <c r="A123" s="25" t="s">
        <v>58</v>
      </c>
      <c r="B123" s="25" t="s">
        <v>107</v>
      </c>
      <c r="C123" s="25" t="s">
        <v>45</v>
      </c>
      <c r="D123" s="25" t="s">
        <v>112</v>
      </c>
      <c r="E123" s="25" t="str">
        <f>LEFT(Table1[[#This Row],[TeamID]],FIND("/",Table1[[#This Row],[TeamID]])-1)</f>
        <v>Mike H</v>
      </c>
      <c r="F123" s="26">
        <f>Table1[[#This Row],[TC-G1-AS]]+Table1[[#This Row],[TC-G2-AS]]+Table1[[#This Row],[TC-G3-AS]]+Table1[[#This Row],[TC-G4-AS]]+Table1[[#This Row],[TC-G5-AS]]</f>
        <v>2</v>
      </c>
      <c r="I123" s="25">
        <v>1</v>
      </c>
      <c r="J123" s="25">
        <v>1</v>
      </c>
      <c r="L123" s="25" t="str">
        <f>SUBSTITUTE(Table1[[#This Row],[TeamID]],Table1[[#This Row],[Team Captain]]&amp;"/","")</f>
        <v>Paul</v>
      </c>
      <c r="Q123" s="25">
        <v>1</v>
      </c>
      <c r="R123" s="26">
        <f>Table1[[#This Row],[P-G1-AS]]+Table1[[#This Row],[P-G2-AS]]+Table1[[#This Row],[P-G3-AS]]+Table1[[#This Row],[P-G4-AS]]+Table1[[#This Row],[P-G5-AS]]</f>
        <v>1</v>
      </c>
      <c r="S123" s="25">
        <v>53</v>
      </c>
      <c r="T123" s="25">
        <v>0</v>
      </c>
      <c r="W123" s="25">
        <v>37.57</v>
      </c>
      <c r="X123" s="25">
        <v>1</v>
      </c>
      <c r="Y123" s="25" t="s">
        <v>94</v>
      </c>
      <c r="Z123" s="25">
        <v>2</v>
      </c>
      <c r="AA123" s="26">
        <f t="shared" si="6"/>
        <v>45.284999999999997</v>
      </c>
      <c r="AB123" s="25">
        <v>1.46</v>
      </c>
      <c r="AC123" s="25">
        <v>0</v>
      </c>
      <c r="AE123" s="25">
        <v>1.46</v>
      </c>
      <c r="AF123" s="25">
        <v>1</v>
      </c>
      <c r="AH123" s="26">
        <f t="shared" si="7"/>
        <v>1.46</v>
      </c>
      <c r="AI123" s="25">
        <v>24.25</v>
      </c>
      <c r="AJ123" s="25" t="s">
        <v>94</v>
      </c>
      <c r="AK123" s="25">
        <v>30</v>
      </c>
      <c r="AN123" s="25">
        <v>0</v>
      </c>
      <c r="AO123" s="26">
        <f t="shared" si="8"/>
        <v>2</v>
      </c>
    </row>
    <row r="124" spans="1:41" ht="15" hidden="1" customHeight="1">
      <c r="A124" s="25" t="s">
        <v>59</v>
      </c>
      <c r="B124" s="25" t="s">
        <v>107</v>
      </c>
      <c r="C124" s="25" t="s">
        <v>43</v>
      </c>
      <c r="D124" s="25" t="s">
        <v>115</v>
      </c>
      <c r="E124" s="25" t="str">
        <f>LEFT(Table1[[#This Row],[TeamID]],FIND("/",Table1[[#This Row],[TeamID]])-1)</f>
        <v>Mike A</v>
      </c>
      <c r="F124" s="26">
        <f>Table1[[#This Row],[TC-G1-AS]]+Table1[[#This Row],[TC-G2-AS]]+Table1[[#This Row],[TC-G3-AS]]+Table1[[#This Row],[TC-G4-AS]]+Table1[[#This Row],[TC-G5-AS]]</f>
        <v>1</v>
      </c>
      <c r="I124" s="25">
        <v>1</v>
      </c>
      <c r="L124" s="25" t="str">
        <f>SUBSTITUTE(Table1[[#This Row],[TeamID]],Table1[[#This Row],[Team Captain]]&amp;"/","")</f>
        <v>Mike C</v>
      </c>
      <c r="R124" s="26">
        <f>Table1[[#This Row],[P-G1-AS]]+Table1[[#This Row],[P-G2-AS]]+Table1[[#This Row],[P-G3-AS]]+Table1[[#This Row],[P-G4-AS]]+Table1[[#This Row],[P-G5-AS]]</f>
        <v>0</v>
      </c>
      <c r="S124" s="25">
        <v>35.79</v>
      </c>
      <c r="T124" s="25">
        <v>1</v>
      </c>
      <c r="U124" s="25" t="s">
        <v>84</v>
      </c>
      <c r="V124" s="25">
        <v>8</v>
      </c>
      <c r="W124" s="25">
        <v>39.549999999999997</v>
      </c>
      <c r="X124" s="25">
        <v>1</v>
      </c>
      <c r="Y124" s="25" t="s">
        <v>84</v>
      </c>
      <c r="Z124" s="25">
        <v>80</v>
      </c>
      <c r="AA124" s="26">
        <f t="shared" si="6"/>
        <v>37.67</v>
      </c>
      <c r="AB124" s="25">
        <v>1.36</v>
      </c>
      <c r="AC124" s="25">
        <v>0</v>
      </c>
      <c r="AE124" s="25">
        <v>1.67</v>
      </c>
      <c r="AF124" s="25">
        <v>1</v>
      </c>
      <c r="AH124" s="26">
        <f t="shared" si="7"/>
        <v>1.5150000000000001</v>
      </c>
      <c r="AI124" s="25">
        <v>15.22</v>
      </c>
      <c r="AJ124" s="25" t="s">
        <v>84</v>
      </c>
      <c r="AK124" s="25">
        <v>40</v>
      </c>
      <c r="AN124" s="25">
        <v>0</v>
      </c>
      <c r="AO124" s="26">
        <f t="shared" si="8"/>
        <v>3</v>
      </c>
    </row>
    <row r="125" spans="1:41" ht="15" hidden="1" customHeight="1">
      <c r="A125" s="25" t="s">
        <v>59</v>
      </c>
      <c r="B125" s="25" t="s">
        <v>107</v>
      </c>
      <c r="C125" s="25" t="s">
        <v>45</v>
      </c>
      <c r="D125" s="25" t="s">
        <v>44</v>
      </c>
      <c r="E125" s="25" t="str">
        <f>LEFT(Table1[[#This Row],[TeamID]],FIND("/",Table1[[#This Row],[TeamID]])-1)</f>
        <v>Daniel</v>
      </c>
      <c r="F125" s="26">
        <f>Table1[[#This Row],[TC-G1-AS]]+Table1[[#This Row],[TC-G2-AS]]+Table1[[#This Row],[TC-G3-AS]]+Table1[[#This Row],[TC-G4-AS]]+Table1[[#This Row],[TC-G5-AS]]</f>
        <v>1</v>
      </c>
      <c r="J125" s="25">
        <v>1</v>
      </c>
      <c r="L125" s="25" t="str">
        <f>SUBSTITUTE(Table1[[#This Row],[TeamID]],Table1[[#This Row],[Team Captain]]&amp;"/","")</f>
        <v>David</v>
      </c>
      <c r="R125" s="26">
        <f>Table1[[#This Row],[P-G1-AS]]+Table1[[#This Row],[P-G2-AS]]+Table1[[#This Row],[P-G3-AS]]+Table1[[#This Row],[P-G4-AS]]+Table1[[#This Row],[P-G5-AS]]</f>
        <v>0</v>
      </c>
      <c r="S125" s="25">
        <v>34.64</v>
      </c>
      <c r="T125" s="25">
        <v>0</v>
      </c>
      <c r="W125" s="25">
        <v>34.07</v>
      </c>
      <c r="X125" s="25">
        <v>0</v>
      </c>
      <c r="AA125" s="26">
        <f t="shared" si="6"/>
        <v>34.355000000000004</v>
      </c>
      <c r="AB125" s="25">
        <v>1.5</v>
      </c>
      <c r="AC125" s="25">
        <v>1</v>
      </c>
      <c r="AE125" s="25">
        <v>1.2</v>
      </c>
      <c r="AF125" s="25">
        <v>0</v>
      </c>
      <c r="AH125" s="26">
        <f t="shared" si="7"/>
        <v>1.35</v>
      </c>
      <c r="AI125" s="25">
        <v>31.14</v>
      </c>
      <c r="AJ125" s="25" t="s">
        <v>89</v>
      </c>
      <c r="AK125" s="25">
        <v>40</v>
      </c>
      <c r="AL125" s="25" t="s">
        <v>113</v>
      </c>
      <c r="AM125" s="25">
        <v>18</v>
      </c>
      <c r="AN125" s="25">
        <v>1</v>
      </c>
      <c r="AO125" s="26">
        <f t="shared" si="8"/>
        <v>2</v>
      </c>
    </row>
    <row r="126" spans="1:41" ht="15" hidden="1" customHeight="1">
      <c r="A126" s="25" t="s">
        <v>60</v>
      </c>
      <c r="B126" s="25" t="s">
        <v>107</v>
      </c>
      <c r="C126" s="25" t="s">
        <v>43</v>
      </c>
      <c r="D126" s="25" t="s">
        <v>110</v>
      </c>
      <c r="E126" s="25" t="str">
        <f>LEFT(Table1[[#This Row],[TeamID]],FIND("/",Table1[[#This Row],[TeamID]])-1)</f>
        <v>Neil</v>
      </c>
      <c r="F126" s="26">
        <f>Table1[[#This Row],[TC-G1-AS]]+Table1[[#This Row],[TC-G2-AS]]+Table1[[#This Row],[TC-G3-AS]]+Table1[[#This Row],[TC-G4-AS]]+Table1[[#This Row],[TC-G5-AS]]</f>
        <v>0</v>
      </c>
      <c r="L126" s="25" t="str">
        <f>SUBSTITUTE(Table1[[#This Row],[TeamID]],Table1[[#This Row],[Team Captain]]&amp;"/","")</f>
        <v>Clarence</v>
      </c>
      <c r="M126" s="25">
        <v>1</v>
      </c>
      <c r="N126" s="25">
        <v>2</v>
      </c>
      <c r="R126" s="26">
        <f>Table1[[#This Row],[P-G1-AS]]+Table1[[#This Row],[P-G2-AS]]+Table1[[#This Row],[P-G3-AS]]+Table1[[#This Row],[P-G4-AS]]+Table1[[#This Row],[P-G5-AS]]</f>
        <v>3</v>
      </c>
      <c r="S126" s="25">
        <v>48.48</v>
      </c>
      <c r="T126" s="25">
        <v>1</v>
      </c>
      <c r="U126" s="25" t="s">
        <v>87</v>
      </c>
      <c r="V126" s="25">
        <v>16</v>
      </c>
      <c r="W126" s="25">
        <v>21.17</v>
      </c>
      <c r="X126" s="25">
        <v>1</v>
      </c>
      <c r="Y126" s="25" t="s">
        <v>97</v>
      </c>
      <c r="Z126" s="25">
        <v>2</v>
      </c>
      <c r="AA126" s="26">
        <f t="shared" si="6"/>
        <v>34.825000000000003</v>
      </c>
      <c r="AB126" s="25">
        <v>1.26</v>
      </c>
      <c r="AC126" s="25">
        <v>0</v>
      </c>
      <c r="AE126" s="25">
        <v>0.97</v>
      </c>
      <c r="AF126" s="25">
        <v>0</v>
      </c>
      <c r="AH126" s="26">
        <f t="shared" si="7"/>
        <v>1.115</v>
      </c>
      <c r="AI126" s="25">
        <v>22.58</v>
      </c>
      <c r="AJ126" s="25" t="s">
        <v>87</v>
      </c>
      <c r="AK126" s="25">
        <v>52</v>
      </c>
      <c r="AL126" s="25" t="s">
        <v>97</v>
      </c>
      <c r="AM126" s="25">
        <v>6</v>
      </c>
      <c r="AN126" s="25">
        <v>1</v>
      </c>
      <c r="AO126" s="26">
        <f t="shared" si="8"/>
        <v>3</v>
      </c>
    </row>
    <row r="127" spans="1:41" ht="15" hidden="1" customHeight="1">
      <c r="A127" s="25" t="s">
        <v>60</v>
      </c>
      <c r="B127" s="25" t="s">
        <v>107</v>
      </c>
      <c r="C127" s="25" t="s">
        <v>45</v>
      </c>
      <c r="D127" s="25" t="s">
        <v>108</v>
      </c>
      <c r="E127" s="25" t="str">
        <f>LEFT(Table1[[#This Row],[TeamID]],FIND("/",Table1[[#This Row],[TeamID]])-1)</f>
        <v>Brian</v>
      </c>
      <c r="F127" s="26">
        <f>Table1[[#This Row],[TC-G1-AS]]+Table1[[#This Row],[TC-G2-AS]]+Table1[[#This Row],[TC-G3-AS]]+Table1[[#This Row],[TC-G4-AS]]+Table1[[#This Row],[TC-G5-AS]]</f>
        <v>3</v>
      </c>
      <c r="H127" s="25">
        <v>1</v>
      </c>
      <c r="I127" s="25">
        <v>1</v>
      </c>
      <c r="J127" s="25">
        <v>1</v>
      </c>
      <c r="L127" s="25" t="str">
        <f>SUBSTITUTE(Table1[[#This Row],[TeamID]],Table1[[#This Row],[Team Captain]]&amp;"/","")</f>
        <v>Tony</v>
      </c>
      <c r="R127" s="26">
        <f>Table1[[#This Row],[P-G1-AS]]+Table1[[#This Row],[P-G2-AS]]+Table1[[#This Row],[P-G3-AS]]+Table1[[#This Row],[P-G4-AS]]+Table1[[#This Row],[P-G5-AS]]</f>
        <v>0</v>
      </c>
      <c r="S127" s="25">
        <v>41.81</v>
      </c>
      <c r="T127" s="25">
        <v>0</v>
      </c>
      <c r="W127" s="25">
        <v>18.260000000000002</v>
      </c>
      <c r="X127" s="25">
        <v>0</v>
      </c>
      <c r="AA127" s="26">
        <f t="shared" si="6"/>
        <v>30.035000000000004</v>
      </c>
      <c r="AB127" s="25">
        <v>1.75</v>
      </c>
      <c r="AC127" s="25">
        <v>1</v>
      </c>
      <c r="AE127" s="25">
        <v>1.0900000000000001</v>
      </c>
      <c r="AF127" s="25">
        <v>1</v>
      </c>
      <c r="AH127" s="26">
        <f t="shared" si="7"/>
        <v>1.42</v>
      </c>
      <c r="AI127" s="25">
        <v>21.83</v>
      </c>
      <c r="AJ127" s="25" t="s">
        <v>101</v>
      </c>
      <c r="AK127" s="25">
        <v>84</v>
      </c>
      <c r="AN127" s="25">
        <v>0</v>
      </c>
      <c r="AO127" s="26">
        <f t="shared" si="8"/>
        <v>2</v>
      </c>
    </row>
    <row r="128" spans="1:41" ht="15" hidden="1" customHeight="1">
      <c r="A128" s="25" t="s">
        <v>61</v>
      </c>
      <c r="B128" s="25" t="s">
        <v>107</v>
      </c>
      <c r="C128" s="25" t="s">
        <v>43</v>
      </c>
      <c r="D128" s="25" t="s">
        <v>111</v>
      </c>
      <c r="E128" s="25" t="str">
        <f>LEFT(Table1[[#This Row],[TeamID]],FIND("/",Table1[[#This Row],[TeamID]])-1)</f>
        <v>Kevin</v>
      </c>
      <c r="F128" s="26">
        <f>Table1[[#This Row],[TC-G1-AS]]+Table1[[#This Row],[TC-G2-AS]]+Table1[[#This Row],[TC-G3-AS]]+Table1[[#This Row],[TC-G4-AS]]+Table1[[#This Row],[TC-G5-AS]]</f>
        <v>0</v>
      </c>
      <c r="L128" s="25" t="str">
        <f>SUBSTITUTE(Table1[[#This Row],[TeamID]],Table1[[#This Row],[Team Captain]]&amp;"/","")</f>
        <v>Art</v>
      </c>
      <c r="R128" s="26">
        <f>Table1[[#This Row],[P-G1-AS]]+Table1[[#This Row],[P-G2-AS]]+Table1[[#This Row],[P-G3-AS]]+Table1[[#This Row],[P-G4-AS]]+Table1[[#This Row],[P-G5-AS]]</f>
        <v>0</v>
      </c>
      <c r="S128" s="25">
        <v>41.91</v>
      </c>
      <c r="T128" s="25">
        <v>0</v>
      </c>
      <c r="W128" s="25">
        <v>22.68</v>
      </c>
      <c r="X128" s="25">
        <v>0</v>
      </c>
      <c r="AA128" s="26">
        <f t="shared" si="6"/>
        <v>32.295000000000002</v>
      </c>
      <c r="AB128" s="25">
        <v>0.94</v>
      </c>
      <c r="AC128" s="25">
        <v>0</v>
      </c>
      <c r="AE128" s="25">
        <v>1.1200000000000001</v>
      </c>
      <c r="AF128" s="25">
        <v>0</v>
      </c>
      <c r="AH128" s="26">
        <f t="shared" si="7"/>
        <v>1.03</v>
      </c>
      <c r="AI128" s="25">
        <v>36.119999999999997</v>
      </c>
      <c r="AJ128" s="25" t="s">
        <v>55</v>
      </c>
      <c r="AK128" s="25">
        <v>57</v>
      </c>
      <c r="AN128" s="25">
        <v>0</v>
      </c>
      <c r="AO128" s="26">
        <f t="shared" si="8"/>
        <v>0</v>
      </c>
    </row>
    <row r="129" spans="1:41" ht="15" hidden="1" customHeight="1">
      <c r="A129" s="25" t="s">
        <v>61</v>
      </c>
      <c r="B129" s="25" t="s">
        <v>107</v>
      </c>
      <c r="C129" s="25" t="s">
        <v>45</v>
      </c>
      <c r="D129" s="25" t="s">
        <v>109</v>
      </c>
      <c r="E129" s="25" t="str">
        <f>LEFT(Table1[[#This Row],[TeamID]],FIND("/",Table1[[#This Row],[TeamID]])-1)</f>
        <v>Todd</v>
      </c>
      <c r="F129" s="26">
        <f>Table1[[#This Row],[TC-G1-AS]]+Table1[[#This Row],[TC-G2-AS]]+Table1[[#This Row],[TC-G3-AS]]+Table1[[#This Row],[TC-G4-AS]]+Table1[[#This Row],[TC-G5-AS]]</f>
        <v>2</v>
      </c>
      <c r="J129" s="25">
        <v>1</v>
      </c>
      <c r="K129" s="25">
        <v>1</v>
      </c>
      <c r="L129" s="25" t="str">
        <f>SUBSTITUTE(Table1[[#This Row],[TeamID]],Table1[[#This Row],[Team Captain]]&amp;"/","")</f>
        <v>Mark</v>
      </c>
      <c r="R129" s="26">
        <f>Table1[[#This Row],[P-G1-AS]]+Table1[[#This Row],[P-G2-AS]]+Table1[[#This Row],[P-G3-AS]]+Table1[[#This Row],[P-G4-AS]]+Table1[[#This Row],[P-G5-AS]]</f>
        <v>0</v>
      </c>
      <c r="S129" s="25">
        <v>44.21</v>
      </c>
      <c r="T129" s="25">
        <v>1</v>
      </c>
      <c r="U129" s="25" t="s">
        <v>102</v>
      </c>
      <c r="V129" s="25">
        <v>38</v>
      </c>
      <c r="W129" s="25">
        <v>23.48</v>
      </c>
      <c r="X129" s="25">
        <v>1</v>
      </c>
      <c r="Y129" s="25" t="s">
        <v>92</v>
      </c>
      <c r="Z129" s="25">
        <v>10</v>
      </c>
      <c r="AA129" s="26">
        <f t="shared" si="6"/>
        <v>33.844999999999999</v>
      </c>
      <c r="AB129" s="25">
        <v>1.1200000000000001</v>
      </c>
      <c r="AC129" s="25">
        <v>1</v>
      </c>
      <c r="AE129" s="25">
        <v>1.21</v>
      </c>
      <c r="AF129" s="25">
        <v>1</v>
      </c>
      <c r="AH129" s="26">
        <f t="shared" si="7"/>
        <v>1.165</v>
      </c>
      <c r="AI129" s="25">
        <v>37.619999999999997</v>
      </c>
      <c r="AJ129" s="25" t="s">
        <v>92</v>
      </c>
      <c r="AK129" s="25">
        <v>40</v>
      </c>
      <c r="AL129" s="25" t="s">
        <v>102</v>
      </c>
      <c r="AM129" s="25">
        <v>16</v>
      </c>
      <c r="AN129" s="25">
        <v>1</v>
      </c>
      <c r="AO129" s="26">
        <f t="shared" si="8"/>
        <v>5</v>
      </c>
    </row>
    <row r="130" spans="1:41" ht="15" hidden="1" customHeight="1">
      <c r="A130" s="25" t="s">
        <v>62</v>
      </c>
      <c r="B130" s="25" t="s">
        <v>107</v>
      </c>
      <c r="C130" s="25" t="s">
        <v>43</v>
      </c>
      <c r="D130" s="25" t="s">
        <v>115</v>
      </c>
      <c r="E130" s="25" t="str">
        <f>LEFT(Table1[[#This Row],[TeamID]],FIND("/",Table1[[#This Row],[TeamID]])-1)</f>
        <v>Mike A</v>
      </c>
      <c r="F130" s="26">
        <f>Table1[[#This Row],[TC-G1-AS]]+Table1[[#This Row],[TC-G2-AS]]+Table1[[#This Row],[TC-G3-AS]]+Table1[[#This Row],[TC-G4-AS]]+Table1[[#This Row],[TC-G5-AS]]</f>
        <v>1</v>
      </c>
      <c r="I130" s="25">
        <v>1</v>
      </c>
      <c r="L130" s="25" t="str">
        <f>SUBSTITUTE(Table1[[#This Row],[TeamID]],Table1[[#This Row],[Team Captain]]&amp;"/","")</f>
        <v>Mike C</v>
      </c>
      <c r="M130" s="25">
        <v>1</v>
      </c>
      <c r="Q130" s="25">
        <v>1</v>
      </c>
      <c r="R130" s="26">
        <f>Table1[[#This Row],[P-G1-AS]]+Table1[[#This Row],[P-G2-AS]]+Table1[[#This Row],[P-G3-AS]]+Table1[[#This Row],[P-G4-AS]]+Table1[[#This Row],[P-G5-AS]]</f>
        <v>2</v>
      </c>
      <c r="S130" s="25">
        <v>42.94</v>
      </c>
      <c r="T130" s="25">
        <v>1</v>
      </c>
      <c r="U130" s="25" t="s">
        <v>84</v>
      </c>
      <c r="V130" s="25">
        <v>35</v>
      </c>
      <c r="W130" s="25">
        <v>55.67</v>
      </c>
      <c r="X130" s="25">
        <v>1</v>
      </c>
      <c r="Y130" s="25" t="s">
        <v>84</v>
      </c>
      <c r="Z130" s="25">
        <v>51</v>
      </c>
      <c r="AA130" s="26">
        <f t="shared" si="6"/>
        <v>49.305</v>
      </c>
      <c r="AB130" s="25">
        <v>1.37</v>
      </c>
      <c r="AC130" s="25">
        <v>1</v>
      </c>
      <c r="AE130" s="25">
        <v>1.22</v>
      </c>
      <c r="AF130" s="25">
        <v>0</v>
      </c>
      <c r="AH130" s="26">
        <f t="shared" si="7"/>
        <v>1.2949999999999999</v>
      </c>
      <c r="AI130" s="25">
        <v>30.1</v>
      </c>
      <c r="AJ130" s="25" t="s">
        <v>57</v>
      </c>
      <c r="AK130" s="25">
        <v>40</v>
      </c>
      <c r="AL130" s="25" t="s">
        <v>84</v>
      </c>
      <c r="AM130" s="25">
        <v>58</v>
      </c>
      <c r="AN130" s="25">
        <v>1</v>
      </c>
      <c r="AO130" s="26">
        <f t="shared" si="8"/>
        <v>4</v>
      </c>
    </row>
    <row r="131" spans="1:41" ht="15" hidden="1" customHeight="1">
      <c r="A131" s="25" t="s">
        <v>62</v>
      </c>
      <c r="B131" s="25" t="s">
        <v>107</v>
      </c>
      <c r="C131" s="25" t="s">
        <v>45</v>
      </c>
      <c r="D131" s="25" t="s">
        <v>111</v>
      </c>
      <c r="E131" s="25" t="str">
        <f>LEFT(Table1[[#This Row],[TeamID]],FIND("/",Table1[[#This Row],[TeamID]])-1)</f>
        <v>Kevin</v>
      </c>
      <c r="F131" s="26">
        <f>Table1[[#This Row],[TC-G1-AS]]+Table1[[#This Row],[TC-G2-AS]]+Table1[[#This Row],[TC-G3-AS]]+Table1[[#This Row],[TC-G4-AS]]+Table1[[#This Row],[TC-G5-AS]]</f>
        <v>2</v>
      </c>
      <c r="J131" s="25">
        <v>1</v>
      </c>
      <c r="K131" s="25">
        <v>1</v>
      </c>
      <c r="L131" s="25" t="str">
        <f>SUBSTITUTE(Table1[[#This Row],[TeamID]],Table1[[#This Row],[Team Captain]]&amp;"/","")</f>
        <v>Art</v>
      </c>
      <c r="R131" s="26">
        <f>Table1[[#This Row],[P-G1-AS]]+Table1[[#This Row],[P-G2-AS]]+Table1[[#This Row],[P-G3-AS]]+Table1[[#This Row],[P-G4-AS]]+Table1[[#This Row],[P-G5-AS]]</f>
        <v>0</v>
      </c>
      <c r="S131" s="25">
        <v>39.270000000000003</v>
      </c>
      <c r="T131" s="25">
        <v>0</v>
      </c>
      <c r="W131" s="25">
        <v>29.56</v>
      </c>
      <c r="X131" s="25">
        <v>0</v>
      </c>
      <c r="AA131" s="26">
        <f t="shared" si="6"/>
        <v>34.414999999999999</v>
      </c>
      <c r="AB131" s="25">
        <v>1</v>
      </c>
      <c r="AC131" s="25">
        <v>0</v>
      </c>
      <c r="AE131" s="25">
        <v>1.18</v>
      </c>
      <c r="AF131" s="25">
        <v>1</v>
      </c>
      <c r="AH131" s="26">
        <f t="shared" si="7"/>
        <v>1.0899999999999999</v>
      </c>
      <c r="AI131" s="25">
        <v>29.3</v>
      </c>
      <c r="AJ131" s="25" t="s">
        <v>55</v>
      </c>
      <c r="AK131" s="25">
        <v>52</v>
      </c>
      <c r="AN131" s="25">
        <v>0</v>
      </c>
      <c r="AO131" s="26">
        <f t="shared" si="8"/>
        <v>1</v>
      </c>
    </row>
    <row r="132" spans="1:41" ht="15" hidden="1" customHeight="1">
      <c r="A132" s="25" t="s">
        <v>63</v>
      </c>
      <c r="B132" s="25" t="s">
        <v>107</v>
      </c>
      <c r="C132" s="25" t="s">
        <v>43</v>
      </c>
      <c r="D132" s="25" t="s">
        <v>108</v>
      </c>
      <c r="E132" s="25" t="str">
        <f>LEFT(Table1[[#This Row],[TeamID]],FIND("/",Table1[[#This Row],[TeamID]])-1)</f>
        <v>Brian</v>
      </c>
      <c r="F132" s="26">
        <f>Table1[[#This Row],[TC-G1-AS]]+Table1[[#This Row],[TC-G2-AS]]+Table1[[#This Row],[TC-G3-AS]]+Table1[[#This Row],[TC-G4-AS]]+Table1[[#This Row],[TC-G5-AS]]</f>
        <v>2</v>
      </c>
      <c r="G132" s="25">
        <v>1</v>
      </c>
      <c r="I132" s="25">
        <v>1</v>
      </c>
      <c r="L132" s="25" t="str">
        <f>SUBSTITUTE(Table1[[#This Row],[TeamID]],Table1[[#This Row],[Team Captain]]&amp;"/","")</f>
        <v>Tony</v>
      </c>
      <c r="R132" s="26">
        <f>Table1[[#This Row],[P-G1-AS]]+Table1[[#This Row],[P-G2-AS]]+Table1[[#This Row],[P-G3-AS]]+Table1[[#This Row],[P-G4-AS]]+Table1[[#This Row],[P-G5-AS]]</f>
        <v>0</v>
      </c>
      <c r="S132" s="25">
        <v>24.24</v>
      </c>
      <c r="T132" s="25">
        <v>1</v>
      </c>
      <c r="U132" s="25" t="s">
        <v>96</v>
      </c>
      <c r="V132" s="25">
        <v>4</v>
      </c>
      <c r="W132" s="25">
        <v>33</v>
      </c>
      <c r="X132" s="25">
        <v>0</v>
      </c>
      <c r="AA132" s="26">
        <f t="shared" si="6"/>
        <v>28.619999999999997</v>
      </c>
      <c r="AB132" s="25">
        <v>2</v>
      </c>
      <c r="AC132" s="25">
        <v>1</v>
      </c>
      <c r="AE132" s="25">
        <v>1.0900000000000001</v>
      </c>
      <c r="AF132" s="25">
        <v>0</v>
      </c>
      <c r="AH132" s="26">
        <f t="shared" si="7"/>
        <v>1.5449999999999999</v>
      </c>
      <c r="AI132" s="25">
        <v>17.22</v>
      </c>
      <c r="AJ132" s="25" t="s">
        <v>96</v>
      </c>
      <c r="AK132" s="25">
        <v>16</v>
      </c>
      <c r="AN132" s="25">
        <v>0</v>
      </c>
      <c r="AO132" s="26">
        <f t="shared" si="8"/>
        <v>2</v>
      </c>
    </row>
    <row r="133" spans="1:41" ht="15" hidden="1" customHeight="1">
      <c r="A133" s="25" t="s">
        <v>63</v>
      </c>
      <c r="B133" s="25" t="s">
        <v>107</v>
      </c>
      <c r="C133" s="25" t="s">
        <v>45</v>
      </c>
      <c r="D133" s="25" t="s">
        <v>112</v>
      </c>
      <c r="E133" s="25" t="str">
        <f>LEFT(Table1[[#This Row],[TeamID]],FIND("/",Table1[[#This Row],[TeamID]])-1)</f>
        <v>Mike H</v>
      </c>
      <c r="F133" s="26">
        <f>Table1[[#This Row],[TC-G1-AS]]+Table1[[#This Row],[TC-G2-AS]]+Table1[[#This Row],[TC-G3-AS]]+Table1[[#This Row],[TC-G4-AS]]+Table1[[#This Row],[TC-G5-AS]]</f>
        <v>0</v>
      </c>
      <c r="L133" s="25" t="str">
        <f>SUBSTITUTE(Table1[[#This Row],[TeamID]],Table1[[#This Row],[Team Captain]]&amp;"/","")</f>
        <v>Paul</v>
      </c>
      <c r="R133" s="26">
        <f>Table1[[#This Row],[P-G1-AS]]+Table1[[#This Row],[P-G2-AS]]+Table1[[#This Row],[P-G3-AS]]+Table1[[#This Row],[P-G4-AS]]+Table1[[#This Row],[P-G5-AS]]</f>
        <v>0</v>
      </c>
      <c r="S133" s="25">
        <v>23.57</v>
      </c>
      <c r="T133" s="25">
        <v>0</v>
      </c>
      <c r="W133" s="25">
        <v>40.619999999999997</v>
      </c>
      <c r="X133" s="25">
        <v>1</v>
      </c>
      <c r="Y133" s="25" t="s">
        <v>91</v>
      </c>
      <c r="Z133" s="25">
        <v>8</v>
      </c>
      <c r="AA133" s="26">
        <f t="shared" si="6"/>
        <v>32.094999999999999</v>
      </c>
      <c r="AB133" s="25">
        <v>1.38</v>
      </c>
      <c r="AC133" s="25">
        <v>0</v>
      </c>
      <c r="AE133" s="25">
        <v>1.35</v>
      </c>
      <c r="AF133" s="25">
        <v>1</v>
      </c>
      <c r="AH133" s="26">
        <f t="shared" si="7"/>
        <v>1.365</v>
      </c>
      <c r="AI133" s="25">
        <v>30.1</v>
      </c>
      <c r="AJ133" s="25" t="s">
        <v>94</v>
      </c>
      <c r="AK133" s="25">
        <v>20</v>
      </c>
      <c r="AL133" s="25" t="s">
        <v>91</v>
      </c>
      <c r="AM133" s="25">
        <v>8</v>
      </c>
      <c r="AN133" s="25">
        <v>1</v>
      </c>
      <c r="AO133" s="26">
        <f t="shared" si="8"/>
        <v>3</v>
      </c>
    </row>
    <row r="134" spans="1:41" ht="15" hidden="1" customHeight="1">
      <c r="A134" s="25" t="s">
        <v>64</v>
      </c>
      <c r="B134" s="25" t="s">
        <v>107</v>
      </c>
      <c r="C134" s="25" t="s">
        <v>43</v>
      </c>
      <c r="D134" s="25" t="s">
        <v>114</v>
      </c>
      <c r="E134" s="25" t="str">
        <f>LEFT(Table1[[#This Row],[TeamID]],FIND("/",Table1[[#This Row],[TeamID]])-1)</f>
        <v>Tayven</v>
      </c>
      <c r="F134" s="26">
        <f>Table1[[#This Row],[TC-G1-AS]]+Table1[[#This Row],[TC-G2-AS]]+Table1[[#This Row],[TC-G3-AS]]+Table1[[#This Row],[TC-G4-AS]]+Table1[[#This Row],[TC-G5-AS]]</f>
        <v>1</v>
      </c>
      <c r="G134" s="25">
        <v>1</v>
      </c>
      <c r="L134" s="25" t="str">
        <f>SUBSTITUTE(Table1[[#This Row],[TeamID]],Table1[[#This Row],[Team Captain]]&amp;"/","")</f>
        <v>Jeremy</v>
      </c>
      <c r="R134" s="26">
        <f>Table1[[#This Row],[P-G1-AS]]+Table1[[#This Row],[P-G2-AS]]+Table1[[#This Row],[P-G3-AS]]+Table1[[#This Row],[P-G4-AS]]+Table1[[#This Row],[P-G5-AS]]</f>
        <v>0</v>
      </c>
      <c r="S134" s="25">
        <v>37.31</v>
      </c>
      <c r="T134" s="25">
        <v>0</v>
      </c>
      <c r="W134" s="25">
        <v>42.88</v>
      </c>
      <c r="X134" s="25">
        <v>0</v>
      </c>
      <c r="AA134" s="26">
        <f t="shared" si="6"/>
        <v>40.094999999999999</v>
      </c>
      <c r="AB134" s="25">
        <v>1.1399999999999999</v>
      </c>
      <c r="AC134" s="25">
        <v>1</v>
      </c>
      <c r="AE134" s="25">
        <v>1.21</v>
      </c>
      <c r="AF134" s="25">
        <v>1</v>
      </c>
      <c r="AH134" s="26">
        <f t="shared" si="7"/>
        <v>1.1749999999999998</v>
      </c>
      <c r="AI134" s="25">
        <v>12.64</v>
      </c>
      <c r="AJ134" s="25" t="s">
        <v>86</v>
      </c>
      <c r="AK134" s="25">
        <v>16</v>
      </c>
      <c r="AN134" s="25">
        <v>0</v>
      </c>
      <c r="AO134" s="26">
        <f t="shared" si="8"/>
        <v>2</v>
      </c>
    </row>
    <row r="135" spans="1:41" ht="15" hidden="1" customHeight="1">
      <c r="A135" s="25" t="s">
        <v>64</v>
      </c>
      <c r="B135" s="25" t="s">
        <v>107</v>
      </c>
      <c r="C135" s="25" t="s">
        <v>45</v>
      </c>
      <c r="D135" s="25" t="s">
        <v>109</v>
      </c>
      <c r="E135" s="25" t="str">
        <f>LEFT(Table1[[#This Row],[TeamID]],FIND("/",Table1[[#This Row],[TeamID]])-1)</f>
        <v>Todd</v>
      </c>
      <c r="F135" s="26">
        <f>Table1[[#This Row],[TC-G1-AS]]+Table1[[#This Row],[TC-G2-AS]]+Table1[[#This Row],[TC-G3-AS]]+Table1[[#This Row],[TC-G4-AS]]+Table1[[#This Row],[TC-G5-AS]]</f>
        <v>0</v>
      </c>
      <c r="L135" s="25" t="str">
        <f>SUBSTITUTE(Table1[[#This Row],[TeamID]],Table1[[#This Row],[Team Captain]]&amp;"/","")</f>
        <v>Mark</v>
      </c>
      <c r="M135" s="25">
        <v>1</v>
      </c>
      <c r="N135" s="25">
        <v>2</v>
      </c>
      <c r="O135" s="25">
        <v>1</v>
      </c>
      <c r="R135" s="26">
        <f>Table1[[#This Row],[P-G1-AS]]+Table1[[#This Row],[P-G2-AS]]+Table1[[#This Row],[P-G3-AS]]+Table1[[#This Row],[P-G4-AS]]+Table1[[#This Row],[P-G5-AS]]</f>
        <v>4</v>
      </c>
      <c r="S135" s="25">
        <v>36.659999999999997</v>
      </c>
      <c r="T135" s="25">
        <v>1</v>
      </c>
      <c r="U135" s="25" t="s">
        <v>102</v>
      </c>
      <c r="V135" s="25">
        <v>18</v>
      </c>
      <c r="W135" s="25">
        <v>65.349999999999994</v>
      </c>
      <c r="X135" s="25">
        <v>1</v>
      </c>
      <c r="Y135" s="25" t="s">
        <v>92</v>
      </c>
      <c r="Z135" s="25">
        <v>58</v>
      </c>
      <c r="AA135" s="26">
        <f t="shared" si="6"/>
        <v>51.004999999999995</v>
      </c>
      <c r="AB135" s="25">
        <v>1.1000000000000001</v>
      </c>
      <c r="AC135" s="25">
        <v>0</v>
      </c>
      <c r="AE135" s="25">
        <v>1.22</v>
      </c>
      <c r="AF135" s="25">
        <v>0</v>
      </c>
      <c r="AH135" s="26">
        <f t="shared" si="7"/>
        <v>1.1600000000000001</v>
      </c>
      <c r="AI135" s="25">
        <v>28.22</v>
      </c>
      <c r="AJ135" s="25" t="s">
        <v>92</v>
      </c>
      <c r="AK135" s="25">
        <v>72</v>
      </c>
      <c r="AL135" s="25" t="s">
        <v>92</v>
      </c>
      <c r="AM135" s="25">
        <v>5</v>
      </c>
      <c r="AN135" s="25">
        <v>1</v>
      </c>
      <c r="AO135" s="26">
        <f t="shared" si="8"/>
        <v>3</v>
      </c>
    </row>
    <row r="136" spans="1:41" ht="15" hidden="1" customHeight="1">
      <c r="A136" s="25" t="s">
        <v>65</v>
      </c>
      <c r="B136" s="25" t="s">
        <v>107</v>
      </c>
      <c r="C136" s="25" t="s">
        <v>43</v>
      </c>
      <c r="D136" s="25" t="s">
        <v>110</v>
      </c>
      <c r="E136" s="25" t="str">
        <f>LEFT(Table1[[#This Row],[TeamID]],FIND("/",Table1[[#This Row],[TeamID]])-1)</f>
        <v>Neil</v>
      </c>
      <c r="F136" s="26">
        <f>Table1[[#This Row],[TC-G1-AS]]+Table1[[#This Row],[TC-G2-AS]]+Table1[[#This Row],[TC-G3-AS]]+Table1[[#This Row],[TC-G4-AS]]+Table1[[#This Row],[TC-G5-AS]]</f>
        <v>1</v>
      </c>
      <c r="J136" s="25">
        <v>1</v>
      </c>
      <c r="L136" s="25" t="str">
        <f>SUBSTITUTE(Table1[[#This Row],[TeamID]],Table1[[#This Row],[Team Captain]]&amp;"/","")</f>
        <v>Clarence</v>
      </c>
      <c r="O136" s="25">
        <v>1</v>
      </c>
      <c r="R136" s="26">
        <f>Table1[[#This Row],[P-G1-AS]]+Table1[[#This Row],[P-G2-AS]]+Table1[[#This Row],[P-G3-AS]]+Table1[[#This Row],[P-G4-AS]]+Table1[[#This Row],[P-G5-AS]]</f>
        <v>1</v>
      </c>
      <c r="S136" s="25">
        <v>21.78</v>
      </c>
      <c r="T136" s="25">
        <v>1</v>
      </c>
      <c r="U136" s="25" t="s">
        <v>87</v>
      </c>
      <c r="V136" s="25">
        <v>2</v>
      </c>
      <c r="W136" s="25">
        <v>27</v>
      </c>
      <c r="X136" s="25">
        <v>0</v>
      </c>
      <c r="AA136" s="26">
        <f t="shared" si="6"/>
        <v>24.39</v>
      </c>
      <c r="AB136" s="25">
        <v>2.06</v>
      </c>
      <c r="AC136" s="25">
        <v>1</v>
      </c>
      <c r="AE136" s="25">
        <v>1.25</v>
      </c>
      <c r="AF136" s="25">
        <v>0</v>
      </c>
      <c r="AH136" s="26">
        <f t="shared" si="7"/>
        <v>1.655</v>
      </c>
      <c r="AI136" s="25">
        <v>31.14</v>
      </c>
      <c r="AJ136" s="25" t="s">
        <v>87</v>
      </c>
      <c r="AK136" s="25">
        <v>21</v>
      </c>
      <c r="AL136" s="25" t="s">
        <v>97</v>
      </c>
      <c r="AM136" s="25">
        <v>4</v>
      </c>
      <c r="AN136" s="25">
        <v>1</v>
      </c>
      <c r="AO136" s="26">
        <f t="shared" si="8"/>
        <v>3</v>
      </c>
    </row>
    <row r="137" spans="1:41" ht="15" hidden="1" customHeight="1">
      <c r="A137" s="25" t="s">
        <v>65</v>
      </c>
      <c r="B137" s="25" t="s">
        <v>107</v>
      </c>
      <c r="C137" s="25" t="s">
        <v>45</v>
      </c>
      <c r="D137" s="25" t="s">
        <v>44</v>
      </c>
      <c r="E137" s="25" t="str">
        <f>LEFT(Table1[[#This Row],[TeamID]],FIND("/",Table1[[#This Row],[TeamID]])-1)</f>
        <v>Daniel</v>
      </c>
      <c r="F137" s="26">
        <f>Table1[[#This Row],[TC-G1-AS]]+Table1[[#This Row],[TC-G2-AS]]+Table1[[#This Row],[TC-G3-AS]]+Table1[[#This Row],[TC-G4-AS]]+Table1[[#This Row],[TC-G5-AS]]</f>
        <v>3</v>
      </c>
      <c r="H137" s="25">
        <v>1</v>
      </c>
      <c r="J137" s="25">
        <v>1</v>
      </c>
      <c r="K137" s="25">
        <v>1</v>
      </c>
      <c r="L137" s="25" t="str">
        <f>SUBSTITUTE(Table1[[#This Row],[TeamID]],Table1[[#This Row],[Team Captain]]&amp;"/","")</f>
        <v>David</v>
      </c>
      <c r="R137" s="26">
        <f>Table1[[#This Row],[P-G1-AS]]+Table1[[#This Row],[P-G2-AS]]+Table1[[#This Row],[P-G3-AS]]+Table1[[#This Row],[P-G4-AS]]+Table1[[#This Row],[P-G5-AS]]</f>
        <v>0</v>
      </c>
      <c r="S137" s="25">
        <v>22.59</v>
      </c>
      <c r="T137" s="25">
        <v>0</v>
      </c>
      <c r="W137" s="25">
        <v>34.159999999999997</v>
      </c>
      <c r="X137" s="25">
        <v>1</v>
      </c>
      <c r="Y137" s="25" t="s">
        <v>113</v>
      </c>
      <c r="Z137" s="25">
        <v>4</v>
      </c>
      <c r="AA137" s="26">
        <f t="shared" si="6"/>
        <v>28.375</v>
      </c>
      <c r="AB137" s="25">
        <v>1.33</v>
      </c>
      <c r="AC137" s="25">
        <v>0</v>
      </c>
      <c r="AE137" s="25">
        <v>1.64</v>
      </c>
      <c r="AF137" s="25">
        <v>1</v>
      </c>
      <c r="AH137" s="26">
        <f t="shared" si="7"/>
        <v>1.4849999999999999</v>
      </c>
      <c r="AI137" s="25">
        <v>28.1</v>
      </c>
      <c r="AJ137" s="25" t="s">
        <v>89</v>
      </c>
      <c r="AK137" s="25">
        <v>40</v>
      </c>
      <c r="AN137" s="25">
        <v>0</v>
      </c>
      <c r="AO137" s="26">
        <f t="shared" si="8"/>
        <v>2</v>
      </c>
    </row>
    <row r="138" spans="1:41" ht="15" hidden="1" customHeight="1">
      <c r="A138" s="25" t="s">
        <v>66</v>
      </c>
      <c r="B138" s="25" t="s">
        <v>107</v>
      </c>
      <c r="C138" s="25" t="s">
        <v>43</v>
      </c>
      <c r="D138" s="25" t="s">
        <v>109</v>
      </c>
      <c r="E138" s="25" t="str">
        <f>LEFT(Table1[[#This Row],[TeamID]],FIND("/",Table1[[#This Row],[TeamID]])-1)</f>
        <v>Todd</v>
      </c>
      <c r="F138" s="26">
        <f>Table1[[#This Row],[TC-G1-AS]]+Table1[[#This Row],[TC-G2-AS]]+Table1[[#This Row],[TC-G3-AS]]+Table1[[#This Row],[TC-G4-AS]]+Table1[[#This Row],[TC-G5-AS]]</f>
        <v>1</v>
      </c>
      <c r="I138" s="25">
        <v>1</v>
      </c>
      <c r="L138" s="25" t="str">
        <f>SUBSTITUTE(Table1[[#This Row],[TeamID]],Table1[[#This Row],[Team Captain]]&amp;"/","")</f>
        <v>Mark</v>
      </c>
      <c r="R138" s="26">
        <f>Table1[[#This Row],[P-G1-AS]]+Table1[[#This Row],[P-G2-AS]]+Table1[[#This Row],[P-G3-AS]]+Table1[[#This Row],[P-G4-AS]]+Table1[[#This Row],[P-G5-AS]]</f>
        <v>0</v>
      </c>
      <c r="S138" s="25">
        <v>43.1</v>
      </c>
      <c r="T138" s="25">
        <v>0</v>
      </c>
      <c r="W138" s="25">
        <v>32.67</v>
      </c>
      <c r="X138" s="25">
        <v>1</v>
      </c>
      <c r="Y138" s="25" t="s">
        <v>92</v>
      </c>
      <c r="Z138" s="25">
        <v>2</v>
      </c>
      <c r="AA138" s="26">
        <f t="shared" si="6"/>
        <v>37.885000000000005</v>
      </c>
      <c r="AB138" s="25">
        <v>2.0699999999999998</v>
      </c>
      <c r="AC138" s="25">
        <v>1</v>
      </c>
      <c r="AE138" s="25">
        <v>1.4</v>
      </c>
      <c r="AF138" s="25">
        <v>1</v>
      </c>
      <c r="AH138" s="26">
        <f t="shared" si="7"/>
        <v>1.7349999999999999</v>
      </c>
      <c r="AI138" s="25">
        <v>31.14</v>
      </c>
      <c r="AJ138" s="25" t="s">
        <v>92</v>
      </c>
      <c r="AK138" s="25">
        <v>43</v>
      </c>
      <c r="AL138" s="25" t="s">
        <v>102</v>
      </c>
      <c r="AM138" s="25">
        <v>29</v>
      </c>
      <c r="AN138" s="25">
        <v>1</v>
      </c>
      <c r="AO138" s="26">
        <f t="shared" si="8"/>
        <v>4</v>
      </c>
    </row>
    <row r="139" spans="1:41" ht="15" hidden="1" customHeight="1">
      <c r="A139" s="25" t="s">
        <v>66</v>
      </c>
      <c r="B139" s="25" t="s">
        <v>107</v>
      </c>
      <c r="C139" s="25" t="s">
        <v>45</v>
      </c>
      <c r="D139" s="25" t="s">
        <v>44</v>
      </c>
      <c r="E139" s="25" t="str">
        <f>LEFT(Table1[[#This Row],[TeamID]],FIND("/",Table1[[#This Row],[TeamID]])-1)</f>
        <v>Daniel</v>
      </c>
      <c r="F139" s="26">
        <f>Table1[[#This Row],[TC-G1-AS]]+Table1[[#This Row],[TC-G2-AS]]+Table1[[#This Row],[TC-G3-AS]]+Table1[[#This Row],[TC-G4-AS]]+Table1[[#This Row],[TC-G5-AS]]</f>
        <v>4</v>
      </c>
      <c r="H139" s="25">
        <v>1</v>
      </c>
      <c r="I139" s="25">
        <v>3</v>
      </c>
      <c r="L139" s="25" t="str">
        <f>SUBSTITUTE(Table1[[#This Row],[TeamID]],Table1[[#This Row],[Team Captain]]&amp;"/","")</f>
        <v>David</v>
      </c>
      <c r="R139" s="26">
        <f>Table1[[#This Row],[P-G1-AS]]+Table1[[#This Row],[P-G2-AS]]+Table1[[#This Row],[P-G3-AS]]+Table1[[#This Row],[P-G4-AS]]+Table1[[#This Row],[P-G5-AS]]</f>
        <v>0</v>
      </c>
      <c r="S139" s="25">
        <v>46.97</v>
      </c>
      <c r="T139" s="25">
        <v>1</v>
      </c>
      <c r="U139" s="25" t="s">
        <v>89</v>
      </c>
      <c r="V139" s="25">
        <v>12</v>
      </c>
      <c r="W139" s="25">
        <v>32.869999999999997</v>
      </c>
      <c r="X139" s="25">
        <v>0</v>
      </c>
      <c r="AA139" s="26">
        <f t="shared" si="6"/>
        <v>39.92</v>
      </c>
      <c r="AB139" s="25">
        <v>2</v>
      </c>
      <c r="AC139" s="25">
        <v>0</v>
      </c>
      <c r="AE139" s="25">
        <v>1.34</v>
      </c>
      <c r="AF139" s="25">
        <v>0</v>
      </c>
      <c r="AH139" s="26">
        <f t="shared" si="7"/>
        <v>1.67</v>
      </c>
      <c r="AI139" s="25">
        <v>32.33</v>
      </c>
      <c r="AJ139" s="25" t="s">
        <v>89</v>
      </c>
      <c r="AK139" s="25">
        <v>40</v>
      </c>
      <c r="AN139" s="25">
        <v>0</v>
      </c>
      <c r="AO139" s="26">
        <f t="shared" si="8"/>
        <v>1</v>
      </c>
    </row>
    <row r="140" spans="1:41" ht="15" hidden="1" customHeight="1">
      <c r="A140" s="25" t="s">
        <v>67</v>
      </c>
      <c r="B140" s="25" t="s">
        <v>107</v>
      </c>
      <c r="C140" s="25" t="s">
        <v>43</v>
      </c>
      <c r="D140" s="25" t="s">
        <v>114</v>
      </c>
      <c r="E140" s="25" t="str">
        <f>LEFT(Table1[[#This Row],[TeamID]],FIND("/",Table1[[#This Row],[TeamID]])-1)</f>
        <v>Tayven</v>
      </c>
      <c r="F140" s="26">
        <f>Table1[[#This Row],[TC-G1-AS]]+Table1[[#This Row],[TC-G2-AS]]+Table1[[#This Row],[TC-G3-AS]]+Table1[[#This Row],[TC-G4-AS]]+Table1[[#This Row],[TC-G5-AS]]</f>
        <v>1</v>
      </c>
      <c r="G140" s="25">
        <v>1</v>
      </c>
      <c r="L140" s="25" t="str">
        <f>SUBSTITUTE(Table1[[#This Row],[TeamID]],Table1[[#This Row],[Team Captain]]&amp;"/","")</f>
        <v>Jeremy</v>
      </c>
      <c r="R140" s="26">
        <f>Table1[[#This Row],[P-G1-AS]]+Table1[[#This Row],[P-G2-AS]]+Table1[[#This Row],[P-G3-AS]]+Table1[[#This Row],[P-G4-AS]]+Table1[[#This Row],[P-G5-AS]]</f>
        <v>0</v>
      </c>
      <c r="S140" s="25">
        <v>40.14</v>
      </c>
      <c r="T140" s="25">
        <v>0</v>
      </c>
      <c r="W140" s="25">
        <v>29.94</v>
      </c>
      <c r="X140" s="25">
        <v>0</v>
      </c>
      <c r="AA140" s="26">
        <f t="shared" si="6"/>
        <v>35.04</v>
      </c>
      <c r="AB140" s="25">
        <v>1.04</v>
      </c>
      <c r="AC140" s="25">
        <v>0</v>
      </c>
      <c r="AE140" s="25">
        <v>1.41</v>
      </c>
      <c r="AF140" s="25">
        <v>1</v>
      </c>
      <c r="AH140" s="26">
        <f t="shared" si="7"/>
        <v>1.2250000000000001</v>
      </c>
      <c r="AI140" s="25">
        <v>20.27</v>
      </c>
      <c r="AJ140" s="25" t="s">
        <v>116</v>
      </c>
      <c r="AK140" s="25">
        <v>6</v>
      </c>
      <c r="AN140" s="25">
        <v>0</v>
      </c>
      <c r="AO140" s="26">
        <f t="shared" si="8"/>
        <v>1</v>
      </c>
    </row>
    <row r="141" spans="1:41" ht="15" hidden="1" customHeight="1">
      <c r="A141" s="25" t="s">
        <v>67</v>
      </c>
      <c r="B141" s="25" t="s">
        <v>107</v>
      </c>
      <c r="C141" s="25" t="s">
        <v>45</v>
      </c>
      <c r="D141" s="25" t="s">
        <v>110</v>
      </c>
      <c r="E141" s="25" t="str">
        <f>LEFT(Table1[[#This Row],[TeamID]],FIND("/",Table1[[#This Row],[TeamID]])-1)</f>
        <v>Neil</v>
      </c>
      <c r="F141" s="26">
        <f>Table1[[#This Row],[TC-G1-AS]]+Table1[[#This Row],[TC-G2-AS]]+Table1[[#This Row],[TC-G3-AS]]+Table1[[#This Row],[TC-G4-AS]]+Table1[[#This Row],[TC-G5-AS]]</f>
        <v>1</v>
      </c>
      <c r="K141" s="25">
        <v>1</v>
      </c>
      <c r="L141" s="25" t="str">
        <f>SUBSTITUTE(Table1[[#This Row],[TeamID]],Table1[[#This Row],[Team Captain]]&amp;"/","")</f>
        <v>Clarence</v>
      </c>
      <c r="O141" s="25">
        <v>1</v>
      </c>
      <c r="R141" s="26">
        <f>Table1[[#This Row],[P-G1-AS]]+Table1[[#This Row],[P-G2-AS]]+Table1[[#This Row],[P-G3-AS]]+Table1[[#This Row],[P-G4-AS]]+Table1[[#This Row],[P-G5-AS]]</f>
        <v>1</v>
      </c>
      <c r="S141" s="25">
        <v>40.619999999999997</v>
      </c>
      <c r="T141" s="25">
        <v>1</v>
      </c>
      <c r="U141" s="25" t="s">
        <v>87</v>
      </c>
      <c r="V141" s="25">
        <v>18</v>
      </c>
      <c r="W141" s="25">
        <v>30.06</v>
      </c>
      <c r="X141" s="25">
        <v>1</v>
      </c>
      <c r="Y141" s="25" t="s">
        <v>97</v>
      </c>
      <c r="Z141" s="25">
        <v>4</v>
      </c>
      <c r="AA141" s="26">
        <f t="shared" si="6"/>
        <v>35.339999999999996</v>
      </c>
      <c r="AB141" s="25">
        <v>1.1599999999999999</v>
      </c>
      <c r="AC141" s="25">
        <v>1</v>
      </c>
      <c r="AE141" s="25">
        <v>1.24</v>
      </c>
      <c r="AF141" s="25">
        <v>0</v>
      </c>
      <c r="AH141" s="26">
        <f t="shared" si="7"/>
        <v>1.2</v>
      </c>
      <c r="AI141" s="25">
        <v>20.52</v>
      </c>
      <c r="AJ141" s="25" t="s">
        <v>87</v>
      </c>
      <c r="AK141" s="25">
        <v>37</v>
      </c>
      <c r="AL141" s="25" t="s">
        <v>87</v>
      </c>
      <c r="AM141" s="25">
        <v>2</v>
      </c>
      <c r="AN141" s="25">
        <v>1</v>
      </c>
      <c r="AO141" s="26">
        <f t="shared" si="8"/>
        <v>4</v>
      </c>
    </row>
    <row r="142" spans="1:41" ht="15" hidden="1" customHeight="1">
      <c r="A142" s="25" t="s">
        <v>68</v>
      </c>
      <c r="B142" s="25" t="s">
        <v>107</v>
      </c>
      <c r="C142" s="25" t="s">
        <v>43</v>
      </c>
      <c r="D142" s="25" t="s">
        <v>108</v>
      </c>
      <c r="E142" s="25" t="str">
        <f>LEFT(Table1[[#This Row],[TeamID]],FIND("/",Table1[[#This Row],[TeamID]])-1)</f>
        <v>Brian</v>
      </c>
      <c r="F142" s="26">
        <f>Table1[[#This Row],[TC-G1-AS]]+Table1[[#This Row],[TC-G2-AS]]+Table1[[#This Row],[TC-G3-AS]]+Table1[[#This Row],[TC-G4-AS]]+Table1[[#This Row],[TC-G5-AS]]</f>
        <v>1</v>
      </c>
      <c r="K142" s="25">
        <v>1</v>
      </c>
      <c r="L142" s="25" t="str">
        <f>SUBSTITUTE(Table1[[#This Row],[TeamID]],Table1[[#This Row],[Team Captain]]&amp;"/","")</f>
        <v>Tony</v>
      </c>
      <c r="R142" s="26">
        <f>Table1[[#This Row],[P-G1-AS]]+Table1[[#This Row],[P-G2-AS]]+Table1[[#This Row],[P-G3-AS]]+Table1[[#This Row],[P-G4-AS]]+Table1[[#This Row],[P-G5-AS]]</f>
        <v>0</v>
      </c>
      <c r="S142" s="25">
        <v>21.7</v>
      </c>
      <c r="T142" s="25">
        <v>0</v>
      </c>
      <c r="W142" s="25">
        <v>33.270000000000003</v>
      </c>
      <c r="X142" s="25">
        <v>0</v>
      </c>
      <c r="AA142" s="26">
        <f t="shared" si="6"/>
        <v>27.484999999999999</v>
      </c>
      <c r="AB142" s="25">
        <v>1</v>
      </c>
      <c r="AC142" s="25">
        <v>0</v>
      </c>
      <c r="AE142" s="25">
        <v>1.1000000000000001</v>
      </c>
      <c r="AF142" s="25">
        <v>0</v>
      </c>
      <c r="AH142" s="26">
        <f t="shared" si="7"/>
        <v>1.05</v>
      </c>
      <c r="AI142" s="25">
        <v>33.22</v>
      </c>
      <c r="AJ142" s="25" t="s">
        <v>96</v>
      </c>
      <c r="AK142" s="25">
        <v>16</v>
      </c>
      <c r="AN142" s="25">
        <v>0</v>
      </c>
      <c r="AO142" s="26">
        <f t="shared" si="8"/>
        <v>0</v>
      </c>
    </row>
    <row r="143" spans="1:41" ht="15" hidden="1" customHeight="1">
      <c r="A143" s="25" t="s">
        <v>68</v>
      </c>
      <c r="B143" s="25" t="s">
        <v>107</v>
      </c>
      <c r="C143" s="25" t="s">
        <v>45</v>
      </c>
      <c r="D143" s="25" t="s">
        <v>115</v>
      </c>
      <c r="E143" s="25" t="str">
        <f>LEFT(Table1[[#This Row],[TeamID]],FIND("/",Table1[[#This Row],[TeamID]])-1)</f>
        <v>Mike A</v>
      </c>
      <c r="F143" s="26">
        <f>Table1[[#This Row],[TC-G1-AS]]+Table1[[#This Row],[TC-G2-AS]]+Table1[[#This Row],[TC-G3-AS]]+Table1[[#This Row],[TC-G4-AS]]+Table1[[#This Row],[TC-G5-AS]]</f>
        <v>3</v>
      </c>
      <c r="G143" s="25">
        <v>2</v>
      </c>
      <c r="I143" s="25">
        <v>1</v>
      </c>
      <c r="L143" s="25" t="str">
        <f>SUBSTITUTE(Table1[[#This Row],[TeamID]],Table1[[#This Row],[Team Captain]]&amp;"/","")</f>
        <v>Mike C</v>
      </c>
      <c r="O143" s="25">
        <v>1</v>
      </c>
      <c r="P143" s="25">
        <v>1</v>
      </c>
      <c r="R143" s="26">
        <f>Table1[[#This Row],[P-G1-AS]]+Table1[[#This Row],[P-G2-AS]]+Table1[[#This Row],[P-G3-AS]]+Table1[[#This Row],[P-G4-AS]]+Table1[[#This Row],[P-G5-AS]]</f>
        <v>2</v>
      </c>
      <c r="S143" s="25">
        <v>23.12</v>
      </c>
      <c r="T143" s="25">
        <v>1</v>
      </c>
      <c r="U143" s="25" t="s">
        <v>57</v>
      </c>
      <c r="V143" s="25">
        <v>2</v>
      </c>
      <c r="W143" s="25">
        <v>31.98</v>
      </c>
      <c r="X143" s="25">
        <v>1</v>
      </c>
      <c r="Y143" s="25" t="s">
        <v>57</v>
      </c>
      <c r="Z143" s="25">
        <v>2</v>
      </c>
      <c r="AA143" s="26">
        <f t="shared" si="6"/>
        <v>27.55</v>
      </c>
      <c r="AB143" s="25">
        <v>1.1299999999999999</v>
      </c>
      <c r="AC143" s="25">
        <v>1</v>
      </c>
      <c r="AE143" s="25">
        <v>2.5499999999999998</v>
      </c>
      <c r="AF143" s="25">
        <v>1</v>
      </c>
      <c r="AH143" s="26">
        <f t="shared" si="7"/>
        <v>1.8399999999999999</v>
      </c>
      <c r="AI143" s="25">
        <v>36.119999999999997</v>
      </c>
      <c r="AJ143" s="25" t="s">
        <v>57</v>
      </c>
      <c r="AK143" s="25">
        <v>76</v>
      </c>
      <c r="AL143" s="25" t="s">
        <v>57</v>
      </c>
      <c r="AM143" s="25">
        <v>10</v>
      </c>
      <c r="AN143" s="25">
        <v>1</v>
      </c>
      <c r="AO143" s="26">
        <f t="shared" si="8"/>
        <v>5</v>
      </c>
    </row>
    <row r="144" spans="1:41" ht="15" hidden="1" customHeight="1">
      <c r="A144" s="25" t="s">
        <v>69</v>
      </c>
      <c r="B144" s="25" t="s">
        <v>107</v>
      </c>
      <c r="C144" s="25" t="s">
        <v>43</v>
      </c>
      <c r="D144" s="25" t="s">
        <v>112</v>
      </c>
      <c r="E144" s="25" t="str">
        <f>LEFT(Table1[[#This Row],[TeamID]],FIND("/",Table1[[#This Row],[TeamID]])-1)</f>
        <v>Mike H</v>
      </c>
      <c r="F144" s="26">
        <f>Table1[[#This Row],[TC-G1-AS]]+Table1[[#This Row],[TC-G2-AS]]+Table1[[#This Row],[TC-G3-AS]]+Table1[[#This Row],[TC-G4-AS]]+Table1[[#This Row],[TC-G5-AS]]</f>
        <v>0</v>
      </c>
      <c r="L144" s="25" t="str">
        <f>SUBSTITUTE(Table1[[#This Row],[TeamID]],Table1[[#This Row],[Team Captain]]&amp;"/","")</f>
        <v>Paul</v>
      </c>
      <c r="R144" s="26">
        <f>Table1[[#This Row],[P-G1-AS]]+Table1[[#This Row],[P-G2-AS]]+Table1[[#This Row],[P-G3-AS]]+Table1[[#This Row],[P-G4-AS]]+Table1[[#This Row],[P-G5-AS]]</f>
        <v>0</v>
      </c>
      <c r="S144" s="25">
        <v>32.67</v>
      </c>
      <c r="T144" s="25">
        <v>1</v>
      </c>
      <c r="U144" s="25" t="s">
        <v>91</v>
      </c>
      <c r="V144" s="25">
        <v>8</v>
      </c>
      <c r="W144" s="25">
        <v>25.84</v>
      </c>
      <c r="X144" s="25">
        <v>0</v>
      </c>
      <c r="AA144" s="26">
        <f t="shared" si="6"/>
        <v>29.255000000000003</v>
      </c>
      <c r="AB144" s="25">
        <v>1.17</v>
      </c>
      <c r="AC144" s="25">
        <v>1</v>
      </c>
      <c r="AE144" s="25">
        <v>1</v>
      </c>
      <c r="AF144" s="25">
        <v>0</v>
      </c>
      <c r="AH144" s="26">
        <f t="shared" si="7"/>
        <v>1.085</v>
      </c>
      <c r="AI144" s="25">
        <v>50.17</v>
      </c>
      <c r="AJ144" s="25" t="s">
        <v>94</v>
      </c>
      <c r="AK144" s="25">
        <v>40</v>
      </c>
      <c r="AL144" s="25" t="s">
        <v>91</v>
      </c>
      <c r="AM144" s="25">
        <v>44</v>
      </c>
      <c r="AN144" s="25">
        <v>1</v>
      </c>
      <c r="AO144" s="26">
        <f t="shared" si="8"/>
        <v>3</v>
      </c>
    </row>
    <row r="145" spans="1:41" ht="15" hidden="1" customHeight="1">
      <c r="A145" s="25" t="s">
        <v>69</v>
      </c>
      <c r="B145" s="25" t="s">
        <v>107</v>
      </c>
      <c r="C145" s="25" t="s">
        <v>45</v>
      </c>
      <c r="D145" s="25" t="s">
        <v>111</v>
      </c>
      <c r="E145" s="25" t="str">
        <f>LEFT(Table1[[#This Row],[TeamID]],FIND("/",Table1[[#This Row],[TeamID]])-1)</f>
        <v>Kevin</v>
      </c>
      <c r="F145" s="26">
        <f>Table1[[#This Row],[TC-G1-AS]]+Table1[[#This Row],[TC-G2-AS]]+Table1[[#This Row],[TC-G3-AS]]+Table1[[#This Row],[TC-G4-AS]]+Table1[[#This Row],[TC-G5-AS]]</f>
        <v>0</v>
      </c>
      <c r="L145" s="25" t="str">
        <f>SUBSTITUTE(Table1[[#This Row],[TeamID]],Table1[[#This Row],[Team Captain]]&amp;"/","")</f>
        <v>Art</v>
      </c>
      <c r="N145" s="25">
        <v>1</v>
      </c>
      <c r="R145" s="26">
        <f>Table1[[#This Row],[P-G1-AS]]+Table1[[#This Row],[P-G2-AS]]+Table1[[#This Row],[P-G3-AS]]+Table1[[#This Row],[P-G4-AS]]+Table1[[#This Row],[P-G5-AS]]</f>
        <v>1</v>
      </c>
      <c r="S145" s="25">
        <v>30.12</v>
      </c>
      <c r="T145" s="25">
        <v>0</v>
      </c>
      <c r="W145" s="25">
        <v>26.84</v>
      </c>
      <c r="X145" s="25">
        <v>1</v>
      </c>
      <c r="Y145" s="25" t="s">
        <v>117</v>
      </c>
      <c r="Z145" s="25">
        <v>4</v>
      </c>
      <c r="AA145" s="26">
        <f t="shared" si="6"/>
        <v>28.48</v>
      </c>
      <c r="AB145" s="25">
        <v>0.86</v>
      </c>
      <c r="AC145" s="25">
        <v>0</v>
      </c>
      <c r="AE145" s="25">
        <v>1.04</v>
      </c>
      <c r="AF145" s="25">
        <v>1</v>
      </c>
      <c r="AH145" s="26">
        <f t="shared" si="7"/>
        <v>0.95</v>
      </c>
      <c r="AI145" s="25">
        <v>1.83</v>
      </c>
      <c r="AJ145" s="25" t="s">
        <v>117</v>
      </c>
      <c r="AK145" s="25">
        <v>11</v>
      </c>
      <c r="AN145" s="25">
        <v>0</v>
      </c>
      <c r="AO145" s="26">
        <f t="shared" si="8"/>
        <v>2</v>
      </c>
    </row>
    <row r="146" spans="1:41" ht="15" hidden="1" customHeight="1">
      <c r="A146" s="25" t="s">
        <v>70</v>
      </c>
      <c r="B146" s="25" t="s">
        <v>107</v>
      </c>
      <c r="C146" s="25" t="s">
        <v>43</v>
      </c>
      <c r="D146" s="25" t="s">
        <v>110</v>
      </c>
      <c r="E146" s="25" t="str">
        <f>LEFT(Table1[[#This Row],[TeamID]],FIND("/",Table1[[#This Row],[TeamID]])-1)</f>
        <v>Neil</v>
      </c>
      <c r="F146" s="26">
        <f>Table1[[#This Row],[TC-G1-AS]]+Table1[[#This Row],[TC-G2-AS]]+Table1[[#This Row],[TC-G3-AS]]+Table1[[#This Row],[TC-G4-AS]]+Table1[[#This Row],[TC-G5-AS]]</f>
        <v>0</v>
      </c>
      <c r="L146" s="25" t="str">
        <f>SUBSTITUTE(Table1[[#This Row],[TeamID]],Table1[[#This Row],[Team Captain]]&amp;"/","")</f>
        <v>Clarence</v>
      </c>
      <c r="M146" s="25">
        <v>3</v>
      </c>
      <c r="N146" s="25">
        <v>1</v>
      </c>
      <c r="O146" s="25">
        <v>1</v>
      </c>
      <c r="P146" s="25">
        <v>1</v>
      </c>
      <c r="R146" s="26">
        <f>Table1[[#This Row],[P-G1-AS]]+Table1[[#This Row],[P-G2-AS]]+Table1[[#This Row],[P-G3-AS]]+Table1[[#This Row],[P-G4-AS]]+Table1[[#This Row],[P-G5-AS]]</f>
        <v>6</v>
      </c>
      <c r="S146" s="25">
        <v>35.6</v>
      </c>
      <c r="T146" s="25">
        <v>0</v>
      </c>
      <c r="W146" s="25">
        <v>40.6</v>
      </c>
      <c r="X146" s="25">
        <v>1</v>
      </c>
      <c r="Y146" s="25" t="s">
        <v>87</v>
      </c>
      <c r="Z146" s="25">
        <v>33</v>
      </c>
      <c r="AA146" s="26">
        <f t="shared" si="6"/>
        <v>38.1</v>
      </c>
      <c r="AB146" s="25">
        <v>1.9</v>
      </c>
      <c r="AC146" s="25">
        <v>1</v>
      </c>
      <c r="AE146" s="25">
        <v>1.5</v>
      </c>
      <c r="AF146" s="25">
        <v>0</v>
      </c>
      <c r="AH146" s="26">
        <f t="shared" ref="AH146:AH165" si="9">(AB146+AE146)/2</f>
        <v>1.7</v>
      </c>
      <c r="AI146" s="25">
        <v>15.6</v>
      </c>
      <c r="AJ146" s="25" t="s">
        <v>87</v>
      </c>
      <c r="AK146" s="25">
        <v>92</v>
      </c>
      <c r="AL146" s="25" t="s">
        <v>97</v>
      </c>
      <c r="AM146" s="25">
        <v>16</v>
      </c>
      <c r="AN146" s="25">
        <v>1</v>
      </c>
      <c r="AO146" s="26">
        <f t="shared" ref="AO146:AO165" si="10">T146+AC146+AN146+AF146+X146</f>
        <v>3</v>
      </c>
    </row>
    <row r="147" spans="1:41" ht="15" hidden="1" customHeight="1">
      <c r="A147" s="25" t="s">
        <v>70</v>
      </c>
      <c r="B147" s="25" t="s">
        <v>107</v>
      </c>
      <c r="C147" s="25" t="s">
        <v>45</v>
      </c>
      <c r="D147" s="25" t="s">
        <v>115</v>
      </c>
      <c r="E147" s="25" t="str">
        <f>LEFT(Table1[[#This Row],[TeamID]],FIND("/",Table1[[#This Row],[TeamID]])-1)</f>
        <v>Mike A</v>
      </c>
      <c r="F147" s="26">
        <f>Table1[[#This Row],[TC-G1-AS]]+Table1[[#This Row],[TC-G2-AS]]+Table1[[#This Row],[TC-G3-AS]]+Table1[[#This Row],[TC-G4-AS]]+Table1[[#This Row],[TC-G5-AS]]</f>
        <v>0</v>
      </c>
      <c r="L147" s="25" t="str">
        <f>SUBSTITUTE(Table1[[#This Row],[TeamID]],Table1[[#This Row],[Team Captain]]&amp;"/","")</f>
        <v>Mike C</v>
      </c>
      <c r="R147" s="26">
        <f>Table1[[#This Row],[P-G1-AS]]+Table1[[#This Row],[P-G2-AS]]+Table1[[#This Row],[P-G3-AS]]+Table1[[#This Row],[P-G4-AS]]+Table1[[#This Row],[P-G5-AS]]</f>
        <v>0</v>
      </c>
      <c r="S147" s="25">
        <v>37.6</v>
      </c>
      <c r="T147" s="25">
        <v>1</v>
      </c>
      <c r="U147" s="25" t="s">
        <v>84</v>
      </c>
      <c r="V147" s="25">
        <v>28</v>
      </c>
      <c r="W147" s="25">
        <v>38.1</v>
      </c>
      <c r="AA147" s="26">
        <f t="shared" si="6"/>
        <v>37.85</v>
      </c>
      <c r="AB147" s="25">
        <v>1.2</v>
      </c>
      <c r="AC147" s="25">
        <v>0</v>
      </c>
      <c r="AE147" s="25">
        <v>2.2999999999999998</v>
      </c>
      <c r="AF147" s="25">
        <v>1</v>
      </c>
      <c r="AH147" s="26">
        <f t="shared" si="9"/>
        <v>1.75</v>
      </c>
      <c r="AI147" s="25">
        <v>14.9</v>
      </c>
      <c r="AJ147" s="25" t="s">
        <v>57</v>
      </c>
      <c r="AK147" s="25">
        <v>16</v>
      </c>
      <c r="AN147" s="25">
        <v>0</v>
      </c>
      <c r="AO147" s="26">
        <f t="shared" si="10"/>
        <v>2</v>
      </c>
    </row>
    <row r="148" spans="1:41" ht="15" hidden="1" customHeight="1">
      <c r="A148" s="25" t="s">
        <v>71</v>
      </c>
      <c r="B148" s="25" t="s">
        <v>107</v>
      </c>
      <c r="C148" s="25" t="s">
        <v>43</v>
      </c>
      <c r="D148" s="25" t="s">
        <v>112</v>
      </c>
      <c r="E148" s="25" t="str">
        <f>LEFT(Table1[[#This Row],[TeamID]],FIND("/",Table1[[#This Row],[TeamID]])-1)</f>
        <v>Mike H</v>
      </c>
      <c r="F148" s="26">
        <f>Table1[[#This Row],[TC-G1-AS]]+Table1[[#This Row],[TC-G2-AS]]+Table1[[#This Row],[TC-G3-AS]]+Table1[[#This Row],[TC-G4-AS]]+Table1[[#This Row],[TC-G5-AS]]</f>
        <v>1</v>
      </c>
      <c r="J148" s="25">
        <v>1</v>
      </c>
      <c r="L148" s="25" t="str">
        <f>SUBSTITUTE(Table1[[#This Row],[TeamID]],Table1[[#This Row],[Team Captain]]&amp;"/","")</f>
        <v>Paul</v>
      </c>
      <c r="R148" s="26">
        <f>Table1[[#This Row],[P-G1-AS]]+Table1[[#This Row],[P-G2-AS]]+Table1[[#This Row],[P-G3-AS]]+Table1[[#This Row],[P-G4-AS]]+Table1[[#This Row],[P-G5-AS]]</f>
        <v>0</v>
      </c>
      <c r="S148" s="25">
        <v>29</v>
      </c>
      <c r="T148" s="25">
        <v>1</v>
      </c>
      <c r="U148" s="25" t="s">
        <v>94</v>
      </c>
      <c r="V148" s="25">
        <v>18</v>
      </c>
      <c r="W148" s="25">
        <v>46.97</v>
      </c>
      <c r="X148" s="25">
        <v>1</v>
      </c>
      <c r="Y148" s="25" t="s">
        <v>91</v>
      </c>
      <c r="Z148" s="25">
        <v>42</v>
      </c>
      <c r="AA148" s="26">
        <f t="shared" si="6"/>
        <v>37.984999999999999</v>
      </c>
      <c r="AB148" s="25">
        <v>1.36</v>
      </c>
      <c r="AC148" s="25">
        <v>0</v>
      </c>
      <c r="AE148" s="25">
        <v>1.63</v>
      </c>
      <c r="AF148" s="25">
        <v>1</v>
      </c>
      <c r="AH148" s="26">
        <f t="shared" si="9"/>
        <v>1.4950000000000001</v>
      </c>
      <c r="AI148" s="25">
        <v>26.56</v>
      </c>
      <c r="AJ148" s="25" t="s">
        <v>94</v>
      </c>
      <c r="AK148" s="25">
        <v>43</v>
      </c>
      <c r="AL148" s="25" t="s">
        <v>94</v>
      </c>
      <c r="AM148" s="25">
        <v>16</v>
      </c>
      <c r="AN148" s="25">
        <v>1</v>
      </c>
      <c r="AO148" s="26">
        <f t="shared" si="10"/>
        <v>4</v>
      </c>
    </row>
    <row r="149" spans="1:41" ht="15" hidden="1" customHeight="1">
      <c r="A149" s="25" t="s">
        <v>71</v>
      </c>
      <c r="B149" s="25" t="s">
        <v>107</v>
      </c>
      <c r="C149" s="25" t="s">
        <v>45</v>
      </c>
      <c r="D149" s="25" t="s">
        <v>109</v>
      </c>
      <c r="E149" s="25" t="str">
        <f>LEFT(Table1[[#This Row],[TeamID]],FIND("/",Table1[[#This Row],[TeamID]])-1)</f>
        <v>Todd</v>
      </c>
      <c r="F149" s="26">
        <f>Table1[[#This Row],[TC-G1-AS]]+Table1[[#This Row],[TC-G2-AS]]+Table1[[#This Row],[TC-G3-AS]]+Table1[[#This Row],[TC-G4-AS]]+Table1[[#This Row],[TC-G5-AS]]</f>
        <v>1</v>
      </c>
      <c r="K149" s="25">
        <v>1</v>
      </c>
      <c r="L149" s="25" t="str">
        <f>SUBSTITUTE(Table1[[#This Row],[TeamID]],Table1[[#This Row],[Team Captain]]&amp;"/","")</f>
        <v>Mark</v>
      </c>
      <c r="R149" s="26">
        <f>Table1[[#This Row],[P-G1-AS]]+Table1[[#This Row],[P-G2-AS]]+Table1[[#This Row],[P-G3-AS]]+Table1[[#This Row],[P-G4-AS]]+Table1[[#This Row],[P-G5-AS]]</f>
        <v>0</v>
      </c>
      <c r="S149" s="25">
        <v>30.57</v>
      </c>
      <c r="T149" s="25">
        <v>0</v>
      </c>
      <c r="W149" s="25">
        <v>46.5</v>
      </c>
      <c r="X149" s="25">
        <v>0</v>
      </c>
      <c r="AA149" s="26">
        <f t="shared" si="6"/>
        <v>38.534999999999997</v>
      </c>
      <c r="AB149" s="25">
        <v>2.27</v>
      </c>
      <c r="AC149" s="25">
        <v>1</v>
      </c>
      <c r="AE149" s="25">
        <v>1.63</v>
      </c>
      <c r="AF149" s="25">
        <v>0</v>
      </c>
      <c r="AH149" s="26">
        <f t="shared" si="9"/>
        <v>1.95</v>
      </c>
      <c r="AI149" s="25">
        <v>22.75</v>
      </c>
      <c r="AJ149" s="25" t="s">
        <v>102</v>
      </c>
      <c r="AK149" s="25">
        <v>12</v>
      </c>
      <c r="AN149" s="25">
        <v>0</v>
      </c>
      <c r="AO149" s="26">
        <f t="shared" si="10"/>
        <v>1</v>
      </c>
    </row>
    <row r="150" spans="1:41" ht="15" hidden="1" customHeight="1">
      <c r="A150" s="25" t="s">
        <v>72</v>
      </c>
      <c r="B150" s="25" t="s">
        <v>107</v>
      </c>
      <c r="C150" s="25" t="s">
        <v>43</v>
      </c>
      <c r="D150" s="25" t="s">
        <v>44</v>
      </c>
      <c r="E150" s="25" t="str">
        <f>LEFT(Table1[[#This Row],[TeamID]],FIND("/",Table1[[#This Row],[TeamID]])-1)</f>
        <v>Daniel</v>
      </c>
      <c r="F150" s="26">
        <f>Table1[[#This Row],[TC-G1-AS]]+Table1[[#This Row],[TC-G2-AS]]+Table1[[#This Row],[TC-G3-AS]]+Table1[[#This Row],[TC-G4-AS]]+Table1[[#This Row],[TC-G5-AS]]</f>
        <v>6</v>
      </c>
      <c r="G150" s="25">
        <v>1</v>
      </c>
      <c r="H150" s="25">
        <v>2</v>
      </c>
      <c r="I150" s="25">
        <v>3</v>
      </c>
      <c r="L150" s="25" t="str">
        <f>SUBSTITUTE(Table1[[#This Row],[TeamID]],Table1[[#This Row],[Team Captain]]&amp;"/","")</f>
        <v>David</v>
      </c>
      <c r="O150" s="25">
        <v>1</v>
      </c>
      <c r="R150" s="26">
        <f>Table1[[#This Row],[P-G1-AS]]+Table1[[#This Row],[P-G2-AS]]+Table1[[#This Row],[P-G3-AS]]+Table1[[#This Row],[P-G4-AS]]+Table1[[#This Row],[P-G5-AS]]</f>
        <v>1</v>
      </c>
      <c r="S150" s="25">
        <v>39.549999999999997</v>
      </c>
      <c r="T150" s="25">
        <v>1</v>
      </c>
      <c r="U150" s="25" t="s">
        <v>89</v>
      </c>
      <c r="V150" s="25">
        <v>14</v>
      </c>
      <c r="W150" s="25">
        <v>34.950000000000003</v>
      </c>
      <c r="X150" s="25">
        <v>1</v>
      </c>
      <c r="Y150" s="25" t="s">
        <v>113</v>
      </c>
      <c r="Z150" s="25">
        <v>4</v>
      </c>
      <c r="AA150" s="26">
        <f t="shared" si="6"/>
        <v>37.25</v>
      </c>
      <c r="AB150" s="25">
        <v>1.76</v>
      </c>
      <c r="AC150" s="25">
        <v>1</v>
      </c>
      <c r="AE150" s="25">
        <v>1.52</v>
      </c>
      <c r="AF150" s="25">
        <v>1</v>
      </c>
      <c r="AH150" s="26">
        <f t="shared" si="9"/>
        <v>1.6400000000000001</v>
      </c>
      <c r="AI150" s="25">
        <v>21.6</v>
      </c>
      <c r="AJ150" s="25" t="s">
        <v>113</v>
      </c>
      <c r="AK150" s="25">
        <v>10</v>
      </c>
      <c r="AN150" s="25">
        <v>0</v>
      </c>
      <c r="AO150" s="26">
        <f t="shared" si="10"/>
        <v>4</v>
      </c>
    </row>
    <row r="151" spans="1:41" ht="15" hidden="1" customHeight="1">
      <c r="A151" s="25" t="s">
        <v>72</v>
      </c>
      <c r="B151" s="25" t="s">
        <v>107</v>
      </c>
      <c r="C151" s="25" t="s">
        <v>45</v>
      </c>
      <c r="D151" s="25" t="s">
        <v>111</v>
      </c>
      <c r="E151" s="25" t="str">
        <f>LEFT(Table1[[#This Row],[TeamID]],FIND("/",Table1[[#This Row],[TeamID]])-1)</f>
        <v>Kevin</v>
      </c>
      <c r="F151" s="26">
        <f>Table1[[#This Row],[TC-G1-AS]]+Table1[[#This Row],[TC-G2-AS]]+Table1[[#This Row],[TC-G3-AS]]+Table1[[#This Row],[TC-G4-AS]]+Table1[[#This Row],[TC-G5-AS]]</f>
        <v>0</v>
      </c>
      <c r="L151" s="25" t="str">
        <f>SUBSTITUTE(Table1[[#This Row],[TeamID]],Table1[[#This Row],[Team Captain]]&amp;"/","")</f>
        <v>Art</v>
      </c>
      <c r="R151" s="26">
        <f>Table1[[#This Row],[P-G1-AS]]+Table1[[#This Row],[P-G2-AS]]+Table1[[#This Row],[P-G3-AS]]+Table1[[#This Row],[P-G4-AS]]+Table1[[#This Row],[P-G5-AS]]</f>
        <v>0</v>
      </c>
      <c r="S151" s="25">
        <v>38.229999999999997</v>
      </c>
      <c r="T151" s="25">
        <v>0</v>
      </c>
      <c r="W151" s="25">
        <v>34.93</v>
      </c>
      <c r="X151" s="25">
        <v>0</v>
      </c>
      <c r="AA151" s="26">
        <f t="shared" si="6"/>
        <v>36.58</v>
      </c>
      <c r="AB151" s="25">
        <v>1.62</v>
      </c>
      <c r="AC151" s="25">
        <v>0</v>
      </c>
      <c r="AE151" s="25">
        <v>1.3</v>
      </c>
      <c r="AF151" s="25">
        <v>0</v>
      </c>
      <c r="AH151" s="26">
        <f t="shared" si="9"/>
        <v>1.46</v>
      </c>
      <c r="AI151" s="25">
        <v>27.56</v>
      </c>
      <c r="AJ151" s="25" t="s">
        <v>55</v>
      </c>
      <c r="AK151" s="25">
        <v>62</v>
      </c>
      <c r="AL151" s="25" t="s">
        <v>55</v>
      </c>
      <c r="AM151" s="25">
        <v>4</v>
      </c>
      <c r="AN151" s="25">
        <v>1</v>
      </c>
      <c r="AO151" s="26">
        <f t="shared" si="10"/>
        <v>1</v>
      </c>
    </row>
    <row r="152" spans="1:41" ht="15" hidden="1" customHeight="1">
      <c r="A152" s="25" t="s">
        <v>73</v>
      </c>
      <c r="B152" s="25" t="s">
        <v>107</v>
      </c>
      <c r="C152" s="25" t="s">
        <v>43</v>
      </c>
      <c r="D152" s="25" t="s">
        <v>108</v>
      </c>
      <c r="E152" s="25" t="str">
        <f>LEFT(Table1[[#This Row],[TeamID]],FIND("/",Table1[[#This Row],[TeamID]])-1)</f>
        <v>Brian</v>
      </c>
      <c r="F152" s="26">
        <f>Table1[[#This Row],[TC-G1-AS]]+Table1[[#This Row],[TC-G2-AS]]+Table1[[#This Row],[TC-G3-AS]]+Table1[[#This Row],[TC-G4-AS]]+Table1[[#This Row],[TC-G5-AS]]</f>
        <v>4</v>
      </c>
      <c r="G152" s="25">
        <v>1</v>
      </c>
      <c r="H152" s="25">
        <v>1</v>
      </c>
      <c r="J152" s="25">
        <v>2</v>
      </c>
      <c r="L152" s="25" t="str">
        <f>SUBSTITUTE(Table1[[#This Row],[TeamID]],Table1[[#This Row],[Team Captain]]&amp;"/","")</f>
        <v>Tony</v>
      </c>
      <c r="R152" s="26">
        <f>Table1[[#This Row],[P-G1-AS]]+Table1[[#This Row],[P-G2-AS]]+Table1[[#This Row],[P-G3-AS]]+Table1[[#This Row],[P-G4-AS]]+Table1[[#This Row],[P-G5-AS]]</f>
        <v>0</v>
      </c>
      <c r="S152" s="25">
        <v>23.12</v>
      </c>
      <c r="T152" s="25">
        <v>1</v>
      </c>
      <c r="U152" s="25" t="s">
        <v>101</v>
      </c>
      <c r="V152" s="25">
        <v>6</v>
      </c>
      <c r="W152" s="25">
        <v>46.97</v>
      </c>
      <c r="X152" s="25">
        <v>1</v>
      </c>
      <c r="Y152" s="25" t="s">
        <v>101</v>
      </c>
      <c r="Z152" s="25">
        <v>32</v>
      </c>
      <c r="AA152" s="26">
        <f t="shared" si="6"/>
        <v>35.045000000000002</v>
      </c>
      <c r="AB152" s="25">
        <v>1</v>
      </c>
      <c r="AC152" s="25">
        <v>0</v>
      </c>
      <c r="AE152" s="25">
        <v>1.3</v>
      </c>
      <c r="AF152" s="25">
        <v>1</v>
      </c>
      <c r="AH152" s="26">
        <f t="shared" si="9"/>
        <v>1.1499999999999999</v>
      </c>
      <c r="AI152" s="25">
        <v>30.78</v>
      </c>
      <c r="AJ152" s="25" t="s">
        <v>96</v>
      </c>
      <c r="AK152" s="25">
        <v>3</v>
      </c>
      <c r="AN152" s="25">
        <v>0</v>
      </c>
      <c r="AO152" s="26">
        <f t="shared" si="10"/>
        <v>3</v>
      </c>
    </row>
    <row r="153" spans="1:41" ht="15" hidden="1" customHeight="1">
      <c r="A153" s="25" t="s">
        <v>73</v>
      </c>
      <c r="B153" s="25" t="s">
        <v>107</v>
      </c>
      <c r="C153" s="25" t="s">
        <v>45</v>
      </c>
      <c r="D153" s="25" t="s">
        <v>114</v>
      </c>
      <c r="E153" s="25" t="str">
        <f>LEFT(Table1[[#This Row],[TeamID]],FIND("/",Table1[[#This Row],[TeamID]])-1)</f>
        <v>Tayven</v>
      </c>
      <c r="F153" s="26">
        <f>Table1[[#This Row],[TC-G1-AS]]+Table1[[#This Row],[TC-G2-AS]]+Table1[[#This Row],[TC-G3-AS]]+Table1[[#This Row],[TC-G4-AS]]+Table1[[#This Row],[TC-G5-AS]]</f>
        <v>2</v>
      </c>
      <c r="G153" s="25">
        <v>1</v>
      </c>
      <c r="J153" s="25">
        <v>1</v>
      </c>
      <c r="L153" s="25" t="str">
        <f>SUBSTITUTE(Table1[[#This Row],[TeamID]],Table1[[#This Row],[Team Captain]]&amp;"/","")</f>
        <v>Jeremy</v>
      </c>
      <c r="R153" s="26">
        <f>Table1[[#This Row],[P-G1-AS]]+Table1[[#This Row],[P-G2-AS]]+Table1[[#This Row],[P-G3-AS]]+Table1[[#This Row],[P-G4-AS]]+Table1[[#This Row],[P-G5-AS]]</f>
        <v>0</v>
      </c>
      <c r="S153" s="25">
        <v>22.68</v>
      </c>
      <c r="T153" s="25">
        <v>0</v>
      </c>
      <c r="W153" s="25">
        <v>37.700000000000003</v>
      </c>
      <c r="X153" s="25">
        <v>0</v>
      </c>
      <c r="AA153" s="26">
        <f t="shared" si="6"/>
        <v>30.19</v>
      </c>
      <c r="AB153" s="25">
        <v>1.08</v>
      </c>
      <c r="AC153" s="25">
        <v>1</v>
      </c>
      <c r="AE153" s="25">
        <v>1.0900000000000001</v>
      </c>
      <c r="AF153" s="25">
        <v>0</v>
      </c>
      <c r="AH153" s="26">
        <f t="shared" si="9"/>
        <v>1.085</v>
      </c>
      <c r="AI153" s="25">
        <v>31.14</v>
      </c>
      <c r="AJ153" s="25" t="s">
        <v>116</v>
      </c>
      <c r="AK153" s="25">
        <v>34</v>
      </c>
      <c r="AL153" s="25" t="s">
        <v>116</v>
      </c>
      <c r="AM153" s="25">
        <v>23</v>
      </c>
      <c r="AN153" s="25">
        <v>1</v>
      </c>
      <c r="AO153" s="26">
        <f t="shared" si="10"/>
        <v>2</v>
      </c>
    </row>
    <row r="154" spans="1:41" ht="15" hidden="1" customHeight="1">
      <c r="A154" s="25" t="s">
        <v>74</v>
      </c>
      <c r="B154" s="25" t="s">
        <v>107</v>
      </c>
      <c r="C154" s="25" t="s">
        <v>43</v>
      </c>
      <c r="D154" s="25" t="s">
        <v>111</v>
      </c>
      <c r="E154" s="25" t="str">
        <f>LEFT(Table1[[#This Row],[TeamID]],FIND("/",Table1[[#This Row],[TeamID]])-1)</f>
        <v>Kevin</v>
      </c>
      <c r="F154" s="26">
        <f>Table1[[#This Row],[TC-G1-AS]]+Table1[[#This Row],[TC-G2-AS]]+Table1[[#This Row],[TC-G3-AS]]+Table1[[#This Row],[TC-G4-AS]]+Table1[[#This Row],[TC-G5-AS]]</f>
        <v>1</v>
      </c>
      <c r="J154" s="25">
        <v>1</v>
      </c>
      <c r="L154" s="25" t="str">
        <f>SUBSTITUTE(Table1[[#This Row],[TeamID]],Table1[[#This Row],[Team Captain]]&amp;"/","")</f>
        <v>Art</v>
      </c>
      <c r="R154" s="26">
        <f>Table1[[#This Row],[P-G1-AS]]+Table1[[#This Row],[P-G2-AS]]+Table1[[#This Row],[P-G3-AS]]+Table1[[#This Row],[P-G4-AS]]+Table1[[#This Row],[P-G5-AS]]</f>
        <v>0</v>
      </c>
      <c r="S154" s="25">
        <v>37.92</v>
      </c>
      <c r="T154" s="25">
        <v>0</v>
      </c>
      <c r="W154" s="25">
        <v>32.07</v>
      </c>
      <c r="X154" s="25">
        <v>0</v>
      </c>
      <c r="AA154" s="26">
        <f t="shared" si="6"/>
        <v>34.995000000000005</v>
      </c>
      <c r="AB154" s="25">
        <v>0.89</v>
      </c>
      <c r="AC154" s="25">
        <v>0</v>
      </c>
      <c r="AE154" s="25">
        <v>1.59</v>
      </c>
      <c r="AF154" s="25">
        <v>1</v>
      </c>
      <c r="AH154" s="26">
        <f t="shared" si="9"/>
        <v>1.24</v>
      </c>
      <c r="AI154" s="25">
        <v>24.42</v>
      </c>
      <c r="AJ154" s="25" t="s">
        <v>55</v>
      </c>
      <c r="AK154" s="25">
        <v>57</v>
      </c>
      <c r="AN154" s="25">
        <v>0</v>
      </c>
      <c r="AO154" s="26">
        <f t="shared" si="10"/>
        <v>1</v>
      </c>
    </row>
    <row r="155" spans="1:41" ht="15" hidden="1" customHeight="1">
      <c r="A155" s="25" t="s">
        <v>74</v>
      </c>
      <c r="B155" s="25" t="s">
        <v>107</v>
      </c>
      <c r="C155" s="25" t="s">
        <v>45</v>
      </c>
      <c r="D155" s="25" t="s">
        <v>108</v>
      </c>
      <c r="E155" s="25" t="str">
        <f>LEFT(Table1[[#This Row],[TeamID]],FIND("/",Table1[[#This Row],[TeamID]])-1)</f>
        <v>Brian</v>
      </c>
      <c r="F155" s="26">
        <f>Table1[[#This Row],[TC-G1-AS]]+Table1[[#This Row],[TC-G2-AS]]+Table1[[#This Row],[TC-G3-AS]]+Table1[[#This Row],[TC-G4-AS]]+Table1[[#This Row],[TC-G5-AS]]</f>
        <v>2</v>
      </c>
      <c r="I155" s="25">
        <v>2</v>
      </c>
      <c r="L155" s="25" t="str">
        <f>SUBSTITUTE(Table1[[#This Row],[TeamID]],Table1[[#This Row],[Team Captain]]&amp;"/","")</f>
        <v>Tony</v>
      </c>
      <c r="O155" s="25">
        <v>1</v>
      </c>
      <c r="R155" s="26">
        <f>Table1[[#This Row],[P-G1-AS]]+Table1[[#This Row],[P-G2-AS]]+Table1[[#This Row],[P-G3-AS]]+Table1[[#This Row],[P-G4-AS]]+Table1[[#This Row],[P-G5-AS]]</f>
        <v>1</v>
      </c>
      <c r="S155" s="25">
        <v>36.659999999999997</v>
      </c>
      <c r="T155" s="25">
        <v>1</v>
      </c>
      <c r="U155" s="25" t="s">
        <v>101</v>
      </c>
      <c r="V155" s="25">
        <v>40</v>
      </c>
      <c r="W155" s="25">
        <v>34.950000000000003</v>
      </c>
      <c r="X155" s="25">
        <v>1</v>
      </c>
      <c r="Y155" s="25" t="s">
        <v>101</v>
      </c>
      <c r="Z155" s="25">
        <v>2</v>
      </c>
      <c r="AA155" s="26">
        <f t="shared" si="6"/>
        <v>35.805</v>
      </c>
      <c r="AB155" s="25">
        <v>2.8</v>
      </c>
      <c r="AC155" s="25">
        <v>1</v>
      </c>
      <c r="AE155" s="25">
        <v>1.06</v>
      </c>
      <c r="AF155" s="25">
        <v>0</v>
      </c>
      <c r="AH155" s="26">
        <f t="shared" si="9"/>
        <v>1.93</v>
      </c>
      <c r="AI155" s="25">
        <v>23.15</v>
      </c>
      <c r="AJ155" s="25" t="s">
        <v>96</v>
      </c>
      <c r="AK155" s="25">
        <v>16</v>
      </c>
      <c r="AL155" s="25" t="s">
        <v>96</v>
      </c>
      <c r="AM155" s="25">
        <v>4</v>
      </c>
      <c r="AN155" s="25">
        <v>1</v>
      </c>
      <c r="AO155" s="26">
        <f t="shared" si="10"/>
        <v>4</v>
      </c>
    </row>
    <row r="156" spans="1:41" ht="15" hidden="1" customHeight="1">
      <c r="A156" s="25" t="s">
        <v>75</v>
      </c>
      <c r="B156" s="25" t="s">
        <v>107</v>
      </c>
      <c r="C156" s="25" t="s">
        <v>43</v>
      </c>
      <c r="D156" s="25" t="s">
        <v>44</v>
      </c>
      <c r="E156" s="25" t="str">
        <f>LEFT(Table1[[#This Row],[TeamID]],FIND("/",Table1[[#This Row],[TeamID]])-1)</f>
        <v>Daniel</v>
      </c>
      <c r="F156" s="26">
        <f>Table1[[#This Row],[TC-G1-AS]]+Table1[[#This Row],[TC-G2-AS]]+Table1[[#This Row],[TC-G3-AS]]+Table1[[#This Row],[TC-G4-AS]]+Table1[[#This Row],[TC-G5-AS]]</f>
        <v>3</v>
      </c>
      <c r="I156" s="25">
        <v>1</v>
      </c>
      <c r="J156" s="25">
        <v>2</v>
      </c>
      <c r="L156" s="25" t="str">
        <f>SUBSTITUTE(Table1[[#This Row],[TeamID]],Table1[[#This Row],[Team Captain]]&amp;"/","")</f>
        <v>David</v>
      </c>
      <c r="R156" s="26">
        <f>Table1[[#This Row],[P-G1-AS]]+Table1[[#This Row],[P-G2-AS]]+Table1[[#This Row],[P-G3-AS]]+Table1[[#This Row],[P-G4-AS]]+Table1[[#This Row],[P-G5-AS]]</f>
        <v>0</v>
      </c>
      <c r="S156" s="25">
        <v>31.31</v>
      </c>
      <c r="T156" s="25">
        <v>1</v>
      </c>
      <c r="U156" s="25" t="s">
        <v>113</v>
      </c>
      <c r="V156" s="25">
        <v>15</v>
      </c>
      <c r="W156" s="25">
        <v>53.7</v>
      </c>
      <c r="X156" s="25">
        <v>1</v>
      </c>
      <c r="Y156" s="25" t="s">
        <v>89</v>
      </c>
      <c r="Z156" s="25">
        <v>26</v>
      </c>
      <c r="AA156" s="26">
        <f t="shared" si="6"/>
        <v>42.505000000000003</v>
      </c>
      <c r="AB156" s="25">
        <v>0.84</v>
      </c>
      <c r="AC156" s="25">
        <v>0</v>
      </c>
      <c r="AE156" s="25">
        <v>1.24</v>
      </c>
      <c r="AF156" s="25">
        <v>1</v>
      </c>
      <c r="AH156" s="26">
        <f t="shared" si="9"/>
        <v>1.04</v>
      </c>
      <c r="AI156" s="25">
        <v>36.119999999999997</v>
      </c>
      <c r="AJ156" s="25" t="s">
        <v>89</v>
      </c>
      <c r="AK156" s="25">
        <v>40</v>
      </c>
      <c r="AL156" s="25" t="s">
        <v>89</v>
      </c>
      <c r="AM156" s="25">
        <v>12</v>
      </c>
      <c r="AN156" s="25">
        <v>1</v>
      </c>
      <c r="AO156" s="26">
        <f t="shared" si="10"/>
        <v>4</v>
      </c>
    </row>
    <row r="157" spans="1:41" ht="15" hidden="1" customHeight="1">
      <c r="A157" s="25" t="s">
        <v>75</v>
      </c>
      <c r="B157" s="25" t="s">
        <v>107</v>
      </c>
      <c r="C157" s="25" t="s">
        <v>45</v>
      </c>
      <c r="D157" s="25" t="s">
        <v>114</v>
      </c>
      <c r="E157" s="25" t="str">
        <f>LEFT(Table1[[#This Row],[TeamID]],FIND("/",Table1[[#This Row],[TeamID]])-1)</f>
        <v>Tayven</v>
      </c>
      <c r="F157" s="26">
        <f>Table1[[#This Row],[TC-G1-AS]]+Table1[[#This Row],[TC-G2-AS]]+Table1[[#This Row],[TC-G3-AS]]+Table1[[#This Row],[TC-G4-AS]]+Table1[[#This Row],[TC-G5-AS]]</f>
        <v>0</v>
      </c>
      <c r="L157" s="25" t="str">
        <f>SUBSTITUTE(Table1[[#This Row],[TeamID]],Table1[[#This Row],[Team Captain]]&amp;"/","")</f>
        <v>Jeremy</v>
      </c>
      <c r="P157" s="25">
        <v>1</v>
      </c>
      <c r="R157" s="26">
        <f>Table1[[#This Row],[P-G1-AS]]+Table1[[#This Row],[P-G2-AS]]+Table1[[#This Row],[P-G3-AS]]+Table1[[#This Row],[P-G4-AS]]+Table1[[#This Row],[P-G5-AS]]</f>
        <v>1</v>
      </c>
      <c r="S157" s="25">
        <v>31.8</v>
      </c>
      <c r="T157" s="25">
        <v>0</v>
      </c>
      <c r="W157" s="25">
        <v>33.200000000000003</v>
      </c>
      <c r="X157" s="25">
        <v>0</v>
      </c>
      <c r="AA157" s="26">
        <f t="shared" si="6"/>
        <v>32.5</v>
      </c>
      <c r="AB157" s="25">
        <v>1.2</v>
      </c>
      <c r="AC157" s="25">
        <v>1</v>
      </c>
      <c r="AE157" s="25">
        <v>1.24</v>
      </c>
      <c r="AF157" s="25">
        <v>0</v>
      </c>
      <c r="AH157" s="26">
        <f t="shared" si="9"/>
        <v>1.22</v>
      </c>
      <c r="AI157" s="25">
        <v>19.559999999999999</v>
      </c>
      <c r="AJ157" s="25" t="s">
        <v>116</v>
      </c>
      <c r="AK157" s="25">
        <v>48</v>
      </c>
      <c r="AN157" s="25">
        <v>0</v>
      </c>
      <c r="AO157" s="26">
        <f t="shared" si="10"/>
        <v>1</v>
      </c>
    </row>
    <row r="158" spans="1:41" ht="15" hidden="1" customHeight="1">
      <c r="A158" s="25" t="s">
        <v>76</v>
      </c>
      <c r="B158" s="25" t="s">
        <v>107</v>
      </c>
      <c r="C158" s="25" t="s">
        <v>43</v>
      </c>
      <c r="D158" s="25" t="s">
        <v>109</v>
      </c>
      <c r="E158" s="25" t="str">
        <f>LEFT(Table1[[#This Row],[TeamID]],FIND("/",Table1[[#This Row],[TeamID]])-1)</f>
        <v>Todd</v>
      </c>
      <c r="F158" s="26">
        <f>Table1[[#This Row],[TC-G1-AS]]+Table1[[#This Row],[TC-G2-AS]]+Table1[[#This Row],[TC-G3-AS]]+Table1[[#This Row],[TC-G4-AS]]+Table1[[#This Row],[TC-G5-AS]]</f>
        <v>0</v>
      </c>
      <c r="L158" s="25" t="str">
        <f>SUBSTITUTE(Table1[[#This Row],[TeamID]],Table1[[#This Row],[Team Captain]]&amp;"/","")</f>
        <v>Mark</v>
      </c>
      <c r="M158" s="25">
        <v>1</v>
      </c>
      <c r="R158" s="26">
        <f>Table1[[#This Row],[P-G1-AS]]+Table1[[#This Row],[P-G2-AS]]+Table1[[#This Row],[P-G3-AS]]+Table1[[#This Row],[P-G4-AS]]+Table1[[#This Row],[P-G5-AS]]</f>
        <v>1</v>
      </c>
      <c r="S158" s="25">
        <v>26.37</v>
      </c>
      <c r="T158" s="25">
        <v>1</v>
      </c>
      <c r="U158" s="25" t="s">
        <v>92</v>
      </c>
      <c r="V158" s="25">
        <v>2</v>
      </c>
      <c r="W158" s="25">
        <v>40.299999999999997</v>
      </c>
      <c r="X158" s="25">
        <v>0</v>
      </c>
      <c r="AA158" s="26">
        <f t="shared" si="6"/>
        <v>33.335000000000001</v>
      </c>
      <c r="AB158" s="25">
        <v>1.52</v>
      </c>
      <c r="AC158" s="25">
        <v>1</v>
      </c>
      <c r="AE158" s="25">
        <v>1.93</v>
      </c>
      <c r="AF158" s="25">
        <v>1</v>
      </c>
      <c r="AH158" s="26">
        <f t="shared" si="9"/>
        <v>1.7250000000000001</v>
      </c>
      <c r="AI158" s="25">
        <v>34.729999999999997</v>
      </c>
      <c r="AJ158" s="25" t="s">
        <v>102</v>
      </c>
      <c r="AK158" s="25">
        <v>52</v>
      </c>
      <c r="AL158" s="25" t="s">
        <v>92</v>
      </c>
      <c r="AM158" s="25">
        <v>32</v>
      </c>
      <c r="AN158" s="25">
        <v>1</v>
      </c>
      <c r="AO158" s="26">
        <f t="shared" si="10"/>
        <v>4</v>
      </c>
    </row>
    <row r="159" spans="1:41" ht="15" hidden="1" customHeight="1">
      <c r="A159" s="25" t="s">
        <v>76</v>
      </c>
      <c r="B159" s="25" t="s">
        <v>107</v>
      </c>
      <c r="C159" s="25" t="s">
        <v>45</v>
      </c>
      <c r="D159" s="25" t="s">
        <v>110</v>
      </c>
      <c r="E159" s="25" t="str">
        <f>LEFT(Table1[[#This Row],[TeamID]],FIND("/",Table1[[#This Row],[TeamID]])-1)</f>
        <v>Neil</v>
      </c>
      <c r="F159" s="26">
        <f>Table1[[#This Row],[TC-G1-AS]]+Table1[[#This Row],[TC-G2-AS]]+Table1[[#This Row],[TC-G3-AS]]+Table1[[#This Row],[TC-G4-AS]]+Table1[[#This Row],[TC-G5-AS]]</f>
        <v>1</v>
      </c>
      <c r="I159" s="25">
        <v>1</v>
      </c>
      <c r="L159" s="25" t="str">
        <f>SUBSTITUTE(Table1[[#This Row],[TeamID]],Table1[[#This Row],[Team Captain]]&amp;"/","")</f>
        <v>Clarence</v>
      </c>
      <c r="R159" s="26">
        <f>Table1[[#This Row],[P-G1-AS]]+Table1[[#This Row],[P-G2-AS]]+Table1[[#This Row],[P-G3-AS]]+Table1[[#This Row],[P-G4-AS]]+Table1[[#This Row],[P-G5-AS]]</f>
        <v>0</v>
      </c>
      <c r="S159" s="25">
        <v>25.53</v>
      </c>
      <c r="T159" s="25">
        <v>0</v>
      </c>
      <c r="W159" s="25">
        <v>50</v>
      </c>
      <c r="X159" s="25">
        <v>1</v>
      </c>
      <c r="Y159" s="25" t="s">
        <v>87</v>
      </c>
      <c r="Z159" s="25">
        <v>84</v>
      </c>
      <c r="AA159" s="26">
        <f t="shared" si="6"/>
        <v>37.765000000000001</v>
      </c>
      <c r="AB159" s="25">
        <v>1.29</v>
      </c>
      <c r="AC159" s="25">
        <v>0</v>
      </c>
      <c r="AE159" s="25">
        <v>1.23</v>
      </c>
      <c r="AF159" s="25">
        <v>0</v>
      </c>
      <c r="AH159" s="26">
        <f t="shared" si="9"/>
        <v>1.26</v>
      </c>
      <c r="AI159" s="25">
        <v>21</v>
      </c>
      <c r="AJ159" s="25" t="s">
        <v>87</v>
      </c>
      <c r="AK159" s="25">
        <v>14</v>
      </c>
      <c r="AN159" s="25">
        <v>0</v>
      </c>
      <c r="AO159" s="26">
        <f t="shared" si="10"/>
        <v>1</v>
      </c>
    </row>
    <row r="160" spans="1:41" ht="15" hidden="1" customHeight="1">
      <c r="A160" s="25" t="s">
        <v>77</v>
      </c>
      <c r="B160" s="25" t="s">
        <v>107</v>
      </c>
      <c r="C160" s="25" t="s">
        <v>43</v>
      </c>
      <c r="D160" s="25" t="s">
        <v>115</v>
      </c>
      <c r="E160" s="25" t="str">
        <f>LEFT(Table1[[#This Row],[TeamID]],FIND("/",Table1[[#This Row],[TeamID]])-1)</f>
        <v>Mike A</v>
      </c>
      <c r="F160" s="26">
        <f>Table1[[#This Row],[TC-G1-AS]]+Table1[[#This Row],[TC-G2-AS]]+Table1[[#This Row],[TC-G3-AS]]+Table1[[#This Row],[TC-G4-AS]]+Table1[[#This Row],[TC-G5-AS]]</f>
        <v>1</v>
      </c>
      <c r="H160" s="25">
        <v>1</v>
      </c>
      <c r="L160" s="25" t="str">
        <f>SUBSTITUTE(Table1[[#This Row],[TeamID]],Table1[[#This Row],[Team Captain]]&amp;"/","")</f>
        <v>Mike C</v>
      </c>
      <c r="R160" s="26">
        <f>Table1[[#This Row],[P-G1-AS]]+Table1[[#This Row],[P-G2-AS]]+Table1[[#This Row],[P-G3-AS]]+Table1[[#This Row],[P-G4-AS]]+Table1[[#This Row],[P-G5-AS]]</f>
        <v>0</v>
      </c>
      <c r="S160" s="25">
        <v>34.159999999999997</v>
      </c>
      <c r="T160" s="25">
        <v>1</v>
      </c>
      <c r="U160" s="25" t="s">
        <v>57</v>
      </c>
      <c r="V160" s="25">
        <v>5</v>
      </c>
      <c r="W160" s="25">
        <v>27.83</v>
      </c>
      <c r="X160" s="25">
        <v>0</v>
      </c>
      <c r="AA160" s="26">
        <f t="shared" si="6"/>
        <v>30.994999999999997</v>
      </c>
      <c r="AB160" s="25">
        <v>1.67</v>
      </c>
      <c r="AC160" s="25">
        <v>0</v>
      </c>
      <c r="AE160" s="25">
        <v>1.1000000000000001</v>
      </c>
      <c r="AF160" s="25">
        <v>0</v>
      </c>
      <c r="AH160" s="26">
        <f t="shared" si="9"/>
        <v>1.385</v>
      </c>
      <c r="AI160" s="25">
        <v>37.5</v>
      </c>
      <c r="AJ160" s="25" t="s">
        <v>57</v>
      </c>
      <c r="AK160" s="25">
        <v>40</v>
      </c>
      <c r="AL160" s="25" t="s">
        <v>84</v>
      </c>
      <c r="AM160" s="25">
        <v>18</v>
      </c>
      <c r="AN160" s="25">
        <v>1</v>
      </c>
      <c r="AO160" s="26">
        <f t="shared" si="10"/>
        <v>2</v>
      </c>
    </row>
    <row r="161" spans="1:41" ht="15" hidden="1" customHeight="1">
      <c r="A161" s="25" t="s">
        <v>77</v>
      </c>
      <c r="B161" s="25" t="s">
        <v>107</v>
      </c>
      <c r="C161" s="25" t="s">
        <v>45</v>
      </c>
      <c r="D161" s="25" t="s">
        <v>112</v>
      </c>
      <c r="E161" s="25" t="str">
        <f>LEFT(Table1[[#This Row],[TeamID]],FIND("/",Table1[[#This Row],[TeamID]])-1)</f>
        <v>Mike H</v>
      </c>
      <c r="F161" s="26">
        <f>Table1[[#This Row],[TC-G1-AS]]+Table1[[#This Row],[TC-G2-AS]]+Table1[[#This Row],[TC-G3-AS]]+Table1[[#This Row],[TC-G4-AS]]+Table1[[#This Row],[TC-G5-AS]]</f>
        <v>3</v>
      </c>
      <c r="G161" s="25">
        <v>1</v>
      </c>
      <c r="I161" s="25">
        <v>1</v>
      </c>
      <c r="K161" s="25">
        <v>1</v>
      </c>
      <c r="L161" s="25" t="str">
        <f>SUBSTITUTE(Table1[[#This Row],[TeamID]],Table1[[#This Row],[Team Captain]]&amp;"/","")</f>
        <v>Paul</v>
      </c>
      <c r="R161" s="26">
        <f>Table1[[#This Row],[P-G1-AS]]+Table1[[#This Row],[P-G2-AS]]+Table1[[#This Row],[P-G3-AS]]+Table1[[#This Row],[P-G4-AS]]+Table1[[#This Row],[P-G5-AS]]</f>
        <v>0</v>
      </c>
      <c r="S161" s="25">
        <v>34.57</v>
      </c>
      <c r="T161" s="25">
        <v>0</v>
      </c>
      <c r="W161" s="25">
        <v>29.18</v>
      </c>
      <c r="X161" s="25">
        <v>1</v>
      </c>
      <c r="Y161" s="25" t="s">
        <v>91</v>
      </c>
      <c r="Z161" s="25">
        <v>8</v>
      </c>
      <c r="AA161" s="26">
        <f t="shared" si="6"/>
        <v>31.875</v>
      </c>
      <c r="AB161" s="25">
        <v>1.8</v>
      </c>
      <c r="AC161" s="25">
        <v>1</v>
      </c>
      <c r="AE161" s="25">
        <v>1.27</v>
      </c>
      <c r="AF161" s="25">
        <v>1</v>
      </c>
      <c r="AH161" s="26">
        <f t="shared" si="9"/>
        <v>1.5350000000000001</v>
      </c>
      <c r="AI161" s="25">
        <v>37.6</v>
      </c>
      <c r="AJ161" s="25" t="s">
        <v>94</v>
      </c>
      <c r="AK161" s="25">
        <v>44</v>
      </c>
      <c r="AN161" s="25">
        <v>0</v>
      </c>
      <c r="AO161" s="26">
        <f t="shared" si="10"/>
        <v>3</v>
      </c>
    </row>
    <row r="162" spans="1:41" ht="15" hidden="1" customHeight="1">
      <c r="A162" s="25" t="s">
        <v>78</v>
      </c>
      <c r="B162" s="25" t="s">
        <v>107</v>
      </c>
      <c r="C162" s="25" t="s">
        <v>43</v>
      </c>
      <c r="D162" s="25" t="s">
        <v>112</v>
      </c>
      <c r="E162" s="25" t="str">
        <f>LEFT(Table1[[#This Row],[TeamID]],FIND("/",Table1[[#This Row],[TeamID]])-1)</f>
        <v>Mike H</v>
      </c>
      <c r="F162" s="26">
        <f>Table1[[#This Row],[TC-G1-AS]]+Table1[[#This Row],[TC-G2-AS]]+Table1[[#This Row],[TC-G3-AS]]+Table1[[#This Row],[TC-G4-AS]]+Table1[[#This Row],[TC-G5-AS]]</f>
        <v>0</v>
      </c>
      <c r="L162" s="25" t="str">
        <f>SUBSTITUTE(Table1[[#This Row],[TeamID]],Table1[[#This Row],[Team Captain]]&amp;"/","")</f>
        <v>Paul</v>
      </c>
      <c r="O162" s="25">
        <v>2</v>
      </c>
      <c r="R162" s="26">
        <f>Table1[[#This Row],[P-G1-AS]]+Table1[[#This Row],[P-G2-AS]]+Table1[[#This Row],[P-G3-AS]]+Table1[[#This Row],[P-G4-AS]]+Table1[[#This Row],[P-G5-AS]]</f>
        <v>2</v>
      </c>
      <c r="S162" s="25">
        <v>26.94</v>
      </c>
      <c r="T162" s="25">
        <v>0</v>
      </c>
      <c r="W162" s="25">
        <v>41.75</v>
      </c>
      <c r="X162" s="25">
        <v>1</v>
      </c>
      <c r="Y162" s="25" t="s">
        <v>91</v>
      </c>
      <c r="Z162" s="25">
        <v>48</v>
      </c>
      <c r="AA162" s="26">
        <f t="shared" si="6"/>
        <v>34.344999999999999</v>
      </c>
      <c r="AB162" s="25">
        <v>1.92</v>
      </c>
      <c r="AC162" s="25">
        <v>1</v>
      </c>
      <c r="AE162" s="25">
        <v>1.38</v>
      </c>
      <c r="AF162" s="25">
        <v>1</v>
      </c>
      <c r="AH162" s="26">
        <f t="shared" si="9"/>
        <v>1.65</v>
      </c>
      <c r="AI162" s="25">
        <v>37.57</v>
      </c>
      <c r="AJ162" s="25" t="s">
        <v>94</v>
      </c>
      <c r="AK162" s="25">
        <v>30</v>
      </c>
      <c r="AN162" s="25">
        <v>0</v>
      </c>
      <c r="AO162" s="26">
        <f t="shared" si="10"/>
        <v>3</v>
      </c>
    </row>
    <row r="163" spans="1:41" ht="15" hidden="1" customHeight="1">
      <c r="A163" s="25" t="s">
        <v>78</v>
      </c>
      <c r="B163" s="25" t="s">
        <v>107</v>
      </c>
      <c r="C163" s="25" t="s">
        <v>45</v>
      </c>
      <c r="D163" s="25" t="s">
        <v>110</v>
      </c>
      <c r="E163" s="25" t="str">
        <f>LEFT(Table1[[#This Row],[TeamID]],FIND("/",Table1[[#This Row],[TeamID]])-1)</f>
        <v>Neil</v>
      </c>
      <c r="F163" s="26">
        <f>Table1[[#This Row],[TC-G1-AS]]+Table1[[#This Row],[TC-G2-AS]]+Table1[[#This Row],[TC-G3-AS]]+Table1[[#This Row],[TC-G4-AS]]+Table1[[#This Row],[TC-G5-AS]]</f>
        <v>1</v>
      </c>
      <c r="G163" s="25">
        <v>1</v>
      </c>
      <c r="L163" s="25" t="str">
        <f>SUBSTITUTE(Table1[[#This Row],[TeamID]],Table1[[#This Row],[Team Captain]]&amp;"/","")</f>
        <v>Clarence</v>
      </c>
      <c r="R163" s="26">
        <f>Table1[[#This Row],[P-G1-AS]]+Table1[[#This Row],[P-G2-AS]]+Table1[[#This Row],[P-G3-AS]]+Table1[[#This Row],[P-G4-AS]]+Table1[[#This Row],[P-G5-AS]]</f>
        <v>0</v>
      </c>
      <c r="S163" s="25">
        <v>29.47</v>
      </c>
      <c r="T163" s="25">
        <v>1</v>
      </c>
      <c r="U163" s="25" t="s">
        <v>97</v>
      </c>
      <c r="V163" s="25">
        <v>2</v>
      </c>
      <c r="W163" s="25">
        <v>38.909999999999997</v>
      </c>
      <c r="X163" s="25">
        <v>0</v>
      </c>
      <c r="AA163" s="26">
        <f t="shared" si="6"/>
        <v>34.19</v>
      </c>
      <c r="AB163" s="25">
        <v>1.42</v>
      </c>
      <c r="AC163" s="25">
        <v>0</v>
      </c>
      <c r="AE163" s="25">
        <v>1.29</v>
      </c>
      <c r="AF163" s="25">
        <v>0</v>
      </c>
      <c r="AH163" s="26">
        <f t="shared" si="9"/>
        <v>1.355</v>
      </c>
      <c r="AI163" s="25">
        <v>37.619999999999997</v>
      </c>
      <c r="AJ163" s="25" t="s">
        <v>87</v>
      </c>
      <c r="AK163" s="25">
        <v>56</v>
      </c>
      <c r="AL163" s="25" t="s">
        <v>97</v>
      </c>
      <c r="AM163" s="25">
        <v>36</v>
      </c>
      <c r="AN163" s="25">
        <v>1</v>
      </c>
      <c r="AO163" s="26">
        <f t="shared" si="10"/>
        <v>2</v>
      </c>
    </row>
    <row r="164" spans="1:41" ht="15" hidden="1" customHeight="1">
      <c r="A164" s="25" t="s">
        <v>79</v>
      </c>
      <c r="B164" s="25" t="s">
        <v>107</v>
      </c>
      <c r="C164" s="25" t="s">
        <v>43</v>
      </c>
      <c r="D164" s="25" t="s">
        <v>109</v>
      </c>
      <c r="E164" s="25" t="str">
        <f>LEFT(Table1[[#This Row],[TeamID]],FIND("/",Table1[[#This Row],[TeamID]])-1)</f>
        <v>Todd</v>
      </c>
      <c r="F164" s="26">
        <f>Table1[[#This Row],[TC-G1-AS]]+Table1[[#This Row],[TC-G2-AS]]+Table1[[#This Row],[TC-G3-AS]]+Table1[[#This Row],[TC-G4-AS]]+Table1[[#This Row],[TC-G5-AS]]</f>
        <v>0</v>
      </c>
      <c r="L164" s="25" t="str">
        <f>SUBSTITUTE(Table1[[#This Row],[TeamID]],Table1[[#This Row],[Team Captain]]&amp;"/","")</f>
        <v>Mark</v>
      </c>
      <c r="R164" s="26">
        <f>Table1[[#This Row],[P-G1-AS]]+Table1[[#This Row],[P-G2-AS]]+Table1[[#This Row],[P-G3-AS]]+Table1[[#This Row],[P-G4-AS]]+Table1[[#This Row],[P-G5-AS]]</f>
        <v>0</v>
      </c>
      <c r="S164" s="25">
        <v>20.79</v>
      </c>
      <c r="T164" s="25">
        <v>0</v>
      </c>
      <c r="W164" s="25">
        <v>46.1</v>
      </c>
      <c r="X164" s="25">
        <v>0</v>
      </c>
      <c r="AA164" s="26">
        <f t="shared" si="6"/>
        <v>33.445</v>
      </c>
      <c r="AB164" s="25">
        <v>1.08</v>
      </c>
      <c r="AC164" s="25">
        <v>1</v>
      </c>
      <c r="AE164" s="25">
        <v>0.79</v>
      </c>
      <c r="AF164" s="25">
        <v>0</v>
      </c>
      <c r="AH164" s="26">
        <f t="shared" si="9"/>
        <v>0.93500000000000005</v>
      </c>
      <c r="AI164" s="25">
        <v>31.14</v>
      </c>
      <c r="AJ164" s="25" t="s">
        <v>92</v>
      </c>
      <c r="AK164" s="25">
        <v>27</v>
      </c>
      <c r="AL164" s="25" t="s">
        <v>102</v>
      </c>
      <c r="AM164" s="25">
        <v>8</v>
      </c>
      <c r="AN164" s="25">
        <v>1</v>
      </c>
      <c r="AO164" s="26">
        <f t="shared" si="10"/>
        <v>2</v>
      </c>
    </row>
    <row r="165" spans="1:41" ht="15" hidden="1" customHeight="1">
      <c r="A165" s="25" t="s">
        <v>79</v>
      </c>
      <c r="B165" s="25" t="s">
        <v>107</v>
      </c>
      <c r="C165" s="25" t="s">
        <v>45</v>
      </c>
      <c r="D165" s="25" t="s">
        <v>115</v>
      </c>
      <c r="E165" s="25" t="str">
        <f>LEFT(Table1[[#This Row],[TeamID]],FIND("/",Table1[[#This Row],[TeamID]])-1)</f>
        <v>Mike A</v>
      </c>
      <c r="F165" s="26">
        <f>Table1[[#This Row],[TC-G1-AS]]+Table1[[#This Row],[TC-G2-AS]]+Table1[[#This Row],[TC-G3-AS]]+Table1[[#This Row],[TC-G4-AS]]+Table1[[#This Row],[TC-G5-AS]]</f>
        <v>1</v>
      </c>
      <c r="H165" s="25">
        <v>1</v>
      </c>
      <c r="L165" s="25" t="str">
        <f>SUBSTITUTE(Table1[[#This Row],[TeamID]],Table1[[#This Row],[Team Captain]]&amp;"/","")</f>
        <v>Mike C</v>
      </c>
      <c r="N165" s="25">
        <v>1</v>
      </c>
      <c r="R165" s="26">
        <f>Table1[[#This Row],[P-G1-AS]]+Table1[[#This Row],[P-G2-AS]]+Table1[[#This Row],[P-G3-AS]]+Table1[[#This Row],[P-G4-AS]]+Table1[[#This Row],[P-G5-AS]]</f>
        <v>1</v>
      </c>
      <c r="S165" s="25">
        <v>20.59</v>
      </c>
      <c r="T165" s="25">
        <v>1</v>
      </c>
      <c r="U165" s="25" t="s">
        <v>57</v>
      </c>
      <c r="V165" s="25">
        <v>4</v>
      </c>
      <c r="W165" s="25">
        <v>53.68</v>
      </c>
      <c r="X165" s="25">
        <v>1</v>
      </c>
      <c r="Y165" s="25" t="s">
        <v>57</v>
      </c>
      <c r="Z165" s="25">
        <v>14</v>
      </c>
      <c r="AA165" s="26">
        <f t="shared" si="6"/>
        <v>37.134999999999998</v>
      </c>
      <c r="AB165" s="25">
        <v>1</v>
      </c>
      <c r="AC165" s="25">
        <v>0</v>
      </c>
      <c r="AE165" s="25">
        <v>1.1200000000000001</v>
      </c>
      <c r="AF165" s="25">
        <v>1</v>
      </c>
      <c r="AH165" s="26">
        <f t="shared" si="9"/>
        <v>1.06</v>
      </c>
      <c r="AI165" s="25">
        <v>15.4</v>
      </c>
      <c r="AJ165" s="25" t="s">
        <v>57</v>
      </c>
      <c r="AK165" s="25">
        <v>31</v>
      </c>
      <c r="AN165" s="25">
        <v>0</v>
      </c>
      <c r="AO165" s="26">
        <f t="shared" si="10"/>
        <v>3</v>
      </c>
    </row>
    <row r="166" spans="1:41" ht="15" hidden="1" customHeight="1">
      <c r="A166" s="25" t="s">
        <v>80</v>
      </c>
      <c r="B166" s="25" t="s">
        <v>107</v>
      </c>
      <c r="C166" s="25" t="s">
        <v>43</v>
      </c>
      <c r="D166" s="25" t="s">
        <v>111</v>
      </c>
      <c r="E166" s="25" t="str">
        <f>LEFT(Table1[[#This Row],[TeamID]],FIND("/",Table1[[#This Row],[TeamID]])-1)</f>
        <v>Kevin</v>
      </c>
      <c r="F166" s="26">
        <f>Table1[[#This Row],[TC-G1-AS]]+Table1[[#This Row],[TC-G2-AS]]+Table1[[#This Row],[TC-G3-AS]]+Table1[[#This Row],[TC-G4-AS]]+Table1[[#This Row],[TC-G5-AS]]</f>
        <v>0</v>
      </c>
      <c r="L166" s="25" t="str">
        <f>SUBSTITUTE(Table1[[#This Row],[TeamID]],Table1[[#This Row],[Team Captain]]&amp;"/","")</f>
        <v>Art</v>
      </c>
      <c r="R166" s="26">
        <f>Table1[[#This Row],[P-G1-AS]]+Table1[[#This Row],[P-G2-AS]]+Table1[[#This Row],[P-G3-AS]]+Table1[[#This Row],[P-G4-AS]]+Table1[[#This Row],[P-G5-AS]]</f>
        <v>0</v>
      </c>
      <c r="S166" s="25">
        <v>39.35</v>
      </c>
      <c r="T166" s="25">
        <v>1</v>
      </c>
      <c r="U166" s="25" t="s">
        <v>55</v>
      </c>
      <c r="V166" s="25">
        <v>20</v>
      </c>
      <c r="W166" s="25">
        <v>28.9</v>
      </c>
      <c r="X166" s="25">
        <v>1</v>
      </c>
      <c r="Y166" s="25" t="s">
        <v>55</v>
      </c>
      <c r="Z166" s="25">
        <v>10</v>
      </c>
      <c r="AA166" s="26">
        <f>(S166+W166)/2</f>
        <v>34.125</v>
      </c>
      <c r="AB166" s="25">
        <v>0.88</v>
      </c>
      <c r="AC166" s="25">
        <v>0</v>
      </c>
      <c r="AE166" s="25">
        <v>0.82</v>
      </c>
      <c r="AF166" s="25">
        <v>0</v>
      </c>
      <c r="AH166" s="26">
        <f>(AB166+AE166)/2</f>
        <v>0.85</v>
      </c>
      <c r="AI166" s="25">
        <v>18.43</v>
      </c>
      <c r="AJ166" s="25" t="s">
        <v>55</v>
      </c>
      <c r="AK166" s="25">
        <v>52</v>
      </c>
      <c r="AL166" s="25" t="s">
        <v>55</v>
      </c>
      <c r="AM166" s="25">
        <v>2</v>
      </c>
      <c r="AN166" s="25">
        <v>1</v>
      </c>
      <c r="AO166" s="26">
        <f>T166+AC166+AN166+AF166+X166</f>
        <v>3</v>
      </c>
    </row>
    <row r="167" spans="1:41" ht="15" hidden="1" customHeight="1">
      <c r="A167" s="25" t="s">
        <v>80</v>
      </c>
      <c r="B167" s="25" t="s">
        <v>107</v>
      </c>
      <c r="C167" s="25" t="s">
        <v>45</v>
      </c>
      <c r="D167" s="25" t="s">
        <v>114</v>
      </c>
      <c r="E167" s="25" t="str">
        <f>LEFT(Table1[[#This Row],[TeamID]],FIND("/",Table1[[#This Row],[TeamID]])-1)</f>
        <v>Tayven</v>
      </c>
      <c r="F167" s="26">
        <f>Table1[[#This Row],[TC-G1-AS]]+Table1[[#This Row],[TC-G2-AS]]+Table1[[#This Row],[TC-G3-AS]]+Table1[[#This Row],[TC-G4-AS]]+Table1[[#This Row],[TC-G5-AS]]</f>
        <v>2</v>
      </c>
      <c r="G167" s="25">
        <v>1</v>
      </c>
      <c r="J167" s="25">
        <v>1</v>
      </c>
      <c r="L167" s="25" t="str">
        <f>SUBSTITUTE(Table1[[#This Row],[TeamID]],Table1[[#This Row],[Team Captain]]&amp;"/","")</f>
        <v>Jeremy</v>
      </c>
      <c r="R167" s="26">
        <f>Table1[[#This Row],[P-G1-AS]]+Table1[[#This Row],[P-G2-AS]]+Table1[[#This Row],[P-G3-AS]]+Table1[[#This Row],[P-G4-AS]]+Table1[[#This Row],[P-G5-AS]]</f>
        <v>0</v>
      </c>
      <c r="S167" s="25">
        <v>37.15</v>
      </c>
      <c r="T167" s="25">
        <v>0</v>
      </c>
      <c r="W167" s="25">
        <v>29</v>
      </c>
      <c r="X167" s="25">
        <v>0</v>
      </c>
      <c r="AA167" s="26">
        <f>(S167+W167)/2</f>
        <v>33.075000000000003</v>
      </c>
      <c r="AB167" s="25">
        <v>1.1200000000000001</v>
      </c>
      <c r="AC167" s="25">
        <v>1</v>
      </c>
      <c r="AE167" s="25">
        <v>1</v>
      </c>
      <c r="AF167" s="25">
        <v>1</v>
      </c>
      <c r="AH167" s="26">
        <f>(AB167+AE167)/2</f>
        <v>1.06</v>
      </c>
      <c r="AI167" s="25">
        <v>18.5</v>
      </c>
      <c r="AJ167" s="25" t="s">
        <v>86</v>
      </c>
      <c r="AK167" s="25">
        <v>33</v>
      </c>
      <c r="AN167" s="25">
        <v>0</v>
      </c>
      <c r="AO167" s="26">
        <f>T167+AC167+AN167+AF167+X167</f>
        <v>2</v>
      </c>
    </row>
    <row r="168" spans="1:41" ht="15" hidden="1" customHeight="1">
      <c r="A168" s="25" t="s">
        <v>81</v>
      </c>
      <c r="B168" s="25" t="s">
        <v>107</v>
      </c>
      <c r="C168" s="25" t="s">
        <v>43</v>
      </c>
      <c r="D168" s="25" t="s">
        <v>44</v>
      </c>
      <c r="E168" s="25" t="str">
        <f>LEFT(Table1[[#This Row],[TeamID]],FIND("/",Table1[[#This Row],[TeamID]])-1)</f>
        <v>Daniel</v>
      </c>
      <c r="F168" s="26">
        <f>Table1[[#This Row],[TC-G1-AS]]+Table1[[#This Row],[TC-G2-AS]]+Table1[[#This Row],[TC-G3-AS]]+Table1[[#This Row],[TC-G4-AS]]+Table1[[#This Row],[TC-G5-AS]]</f>
        <v>1</v>
      </c>
      <c r="G168" s="25">
        <v>1</v>
      </c>
      <c r="L168" s="25" t="str">
        <f>SUBSTITUTE(Table1[[#This Row],[TeamID]],Table1[[#This Row],[Team Captain]]&amp;"/","")</f>
        <v>David</v>
      </c>
      <c r="M168" s="25">
        <v>1</v>
      </c>
      <c r="O168" s="25">
        <v>1</v>
      </c>
      <c r="P168" s="25">
        <v>1</v>
      </c>
      <c r="Q168" s="25">
        <v>1</v>
      </c>
      <c r="R168" s="26">
        <f>Table1[[#This Row],[P-G1-AS]]+Table1[[#This Row],[P-G2-AS]]+Table1[[#This Row],[P-G3-AS]]+Table1[[#This Row],[P-G4-AS]]+Table1[[#This Row],[P-G5-AS]]</f>
        <v>4</v>
      </c>
      <c r="S168" s="25">
        <v>41.25</v>
      </c>
      <c r="T168" s="25">
        <v>0</v>
      </c>
      <c r="W168" s="25">
        <v>35.92</v>
      </c>
      <c r="X168" s="25">
        <v>0</v>
      </c>
      <c r="AA168" s="26">
        <f>(S168+W168)/2</f>
        <v>38.585000000000001</v>
      </c>
      <c r="AB168" s="25">
        <v>1.83</v>
      </c>
      <c r="AC168" s="25">
        <v>0</v>
      </c>
      <c r="AE168" s="25">
        <v>1.41</v>
      </c>
      <c r="AF168" s="25">
        <v>0</v>
      </c>
      <c r="AH168" s="26">
        <f>(AB168+AE168)/2</f>
        <v>1.62</v>
      </c>
      <c r="AI168" s="25">
        <v>15.84</v>
      </c>
      <c r="AJ168" s="25" t="s">
        <v>89</v>
      </c>
      <c r="AK168" s="25">
        <v>75</v>
      </c>
      <c r="AL168" s="25" t="s">
        <v>89</v>
      </c>
      <c r="AM168" s="25">
        <v>3</v>
      </c>
      <c r="AN168" s="25">
        <v>1</v>
      </c>
      <c r="AO168" s="26">
        <f>T168+AC168+AN168+AF168+X168</f>
        <v>1</v>
      </c>
    </row>
    <row r="169" spans="1:41" ht="15" hidden="1" customHeight="1">
      <c r="A169" s="25" t="s">
        <v>81</v>
      </c>
      <c r="B169" s="25" t="s">
        <v>107</v>
      </c>
      <c r="C169" s="25" t="s">
        <v>45</v>
      </c>
      <c r="D169" s="30" t="s">
        <v>108</v>
      </c>
      <c r="E169" s="25" t="str">
        <f>LEFT(Table1[[#This Row],[TeamID]],FIND("/",Table1[[#This Row],[TeamID]])-1)</f>
        <v>Brian</v>
      </c>
      <c r="F169" s="26">
        <f>Table1[[#This Row],[TC-G1-AS]]+Table1[[#This Row],[TC-G2-AS]]+Table1[[#This Row],[TC-G3-AS]]+Table1[[#This Row],[TC-G4-AS]]+Table1[[#This Row],[TC-G5-AS]]</f>
        <v>3</v>
      </c>
      <c r="H169" s="25">
        <v>1</v>
      </c>
      <c r="I169" s="25">
        <v>1</v>
      </c>
      <c r="J169" s="25">
        <v>1</v>
      </c>
      <c r="L169" s="25" t="str">
        <f>SUBSTITUTE(Table1[[#This Row],[TeamID]],Table1[[#This Row],[Team Captain]]&amp;"/","")</f>
        <v>Tony</v>
      </c>
      <c r="R169" s="26">
        <f>Table1[[#This Row],[P-G1-AS]]+Table1[[#This Row],[P-G2-AS]]+Table1[[#This Row],[P-G3-AS]]+Table1[[#This Row],[P-G4-AS]]+Table1[[#This Row],[P-G5-AS]]</f>
        <v>0</v>
      </c>
      <c r="S169" s="25">
        <v>38.54</v>
      </c>
      <c r="T169" s="25">
        <v>1</v>
      </c>
      <c r="U169" s="25" t="s">
        <v>96</v>
      </c>
      <c r="V169" s="25">
        <v>18</v>
      </c>
      <c r="W169" s="25">
        <v>42.94</v>
      </c>
      <c r="X169" s="25">
        <v>1</v>
      </c>
      <c r="Y169" s="25" t="s">
        <v>96</v>
      </c>
      <c r="Z169" s="25">
        <v>40</v>
      </c>
      <c r="AA169" s="26">
        <f>(S169+W169)/2</f>
        <v>40.739999999999995</v>
      </c>
      <c r="AB169" s="25">
        <v>1.95</v>
      </c>
      <c r="AC169" s="25">
        <v>1</v>
      </c>
      <c r="AE169" s="25">
        <v>1.65</v>
      </c>
      <c r="AF169" s="25">
        <v>1</v>
      </c>
      <c r="AH169" s="26">
        <f>(AB169+AE169)/2</f>
        <v>1.7999999999999998</v>
      </c>
      <c r="AI169" s="25">
        <v>15.74</v>
      </c>
      <c r="AJ169" s="25" t="s">
        <v>96</v>
      </c>
      <c r="AK169" s="25">
        <v>32</v>
      </c>
      <c r="AN169" s="25">
        <v>0</v>
      </c>
      <c r="AO169" s="26">
        <f>T169+AC169+AN169+AF169+X169</f>
        <v>4</v>
      </c>
    </row>
    <row r="170" spans="1:41" ht="15" hidden="1" customHeight="1">
      <c r="A170" s="25" t="s">
        <v>41</v>
      </c>
      <c r="B170" s="25" t="s">
        <v>118</v>
      </c>
      <c r="C170" s="25" t="s">
        <v>43</v>
      </c>
      <c r="D170" s="31" t="s">
        <v>119</v>
      </c>
      <c r="E170" s="25" t="str">
        <f>LEFT(Table1[[#This Row],[TeamID]],FIND("/",Table1[[#This Row],[TeamID]])-1)</f>
        <v>Kevin</v>
      </c>
      <c r="F170" s="26">
        <f>Table1[[#This Row],[TC-G1-AS]]+Table1[[#This Row],[TC-G2-AS]]+Table1[[#This Row],[TC-G3-AS]]+Table1[[#This Row],[TC-G4-AS]]+Table1[[#This Row],[TC-G5-AS]]</f>
        <v>0</v>
      </c>
      <c r="L170" s="25" t="str">
        <f>SUBSTITUTE(Table1[[#This Row],[TeamID]],Table1[[#This Row],[Team Captain]]&amp;"/","")</f>
        <v>Jeremy</v>
      </c>
      <c r="R170" s="26">
        <f>Table1[[#This Row],[P-G1-AS]]+Table1[[#This Row],[P-G2-AS]]+Table1[[#This Row],[P-G3-AS]]+Table1[[#This Row],[P-G4-AS]]+Table1[[#This Row],[P-G5-AS]]</f>
        <v>0</v>
      </c>
      <c r="S170" s="25">
        <v>30.67</v>
      </c>
      <c r="T170" s="25">
        <v>1</v>
      </c>
      <c r="U170" s="25" t="s">
        <v>116</v>
      </c>
      <c r="V170" s="25">
        <v>2</v>
      </c>
      <c r="W170" s="25">
        <v>37.58</v>
      </c>
      <c r="X170" s="25">
        <v>1</v>
      </c>
      <c r="Y170" s="25" t="s">
        <v>55</v>
      </c>
      <c r="Z170" s="25">
        <v>8</v>
      </c>
      <c r="AA170" s="26">
        <f t="shared" ref="AA170:AA201" si="11">(S170+W170)/2</f>
        <v>34.125</v>
      </c>
      <c r="AB170" s="25">
        <v>1.05</v>
      </c>
      <c r="AC170" s="25">
        <v>0</v>
      </c>
      <c r="AE170" s="25">
        <v>1</v>
      </c>
      <c r="AF170" s="25">
        <v>0</v>
      </c>
      <c r="AH170" s="26">
        <f t="shared" ref="AH170:AH201" si="12">(AB170+AE170)/2</f>
        <v>1.0249999999999999</v>
      </c>
      <c r="AI170" s="25">
        <v>18.690000000000001</v>
      </c>
      <c r="AJ170" s="25" t="s">
        <v>55</v>
      </c>
      <c r="AK170" s="25">
        <v>37</v>
      </c>
      <c r="AN170" s="25">
        <v>0</v>
      </c>
      <c r="AO170" s="26">
        <f t="shared" ref="AO170:AO201" si="13">T170+AC170+AN170+AF170+X170</f>
        <v>2</v>
      </c>
    </row>
    <row r="171" spans="1:41" ht="15" hidden="1" customHeight="1">
      <c r="A171" s="25" t="s">
        <v>41</v>
      </c>
      <c r="B171" s="25" t="s">
        <v>118</v>
      </c>
      <c r="C171" s="25" t="s">
        <v>45</v>
      </c>
      <c r="D171" s="31" t="s">
        <v>120</v>
      </c>
      <c r="E171" s="25" t="str">
        <f>LEFT(Table1[[#This Row],[TeamID]],FIND("/",Table1[[#This Row],[TeamID]])-1)</f>
        <v>Mike A</v>
      </c>
      <c r="F171" s="26">
        <f>Table1[[#This Row],[TC-G1-AS]]+Table1[[#This Row],[TC-G2-AS]]+Table1[[#This Row],[TC-G3-AS]]+Table1[[#This Row],[TC-G4-AS]]+Table1[[#This Row],[TC-G5-AS]]</f>
        <v>3</v>
      </c>
      <c r="I171" s="25">
        <v>2</v>
      </c>
      <c r="J171" s="25">
        <v>1</v>
      </c>
      <c r="L171" s="25" t="str">
        <f>SUBSTITUTE(Table1[[#This Row],[TeamID]],Table1[[#This Row],[Team Captain]]&amp;"/","")</f>
        <v>Tristan</v>
      </c>
      <c r="R171" s="26">
        <f>Table1[[#This Row],[P-G1-AS]]+Table1[[#This Row],[P-G2-AS]]+Table1[[#This Row],[P-G3-AS]]+Table1[[#This Row],[P-G4-AS]]+Table1[[#This Row],[P-G5-AS]]</f>
        <v>0</v>
      </c>
      <c r="S171" s="25">
        <v>29.35</v>
      </c>
      <c r="T171" s="25">
        <v>0</v>
      </c>
      <c r="W171" s="25">
        <v>37.15</v>
      </c>
      <c r="X171" s="25">
        <v>0</v>
      </c>
      <c r="AA171" s="26">
        <f t="shared" si="11"/>
        <v>33.25</v>
      </c>
      <c r="AB171" s="25">
        <v>1.21</v>
      </c>
      <c r="AC171" s="25">
        <v>1</v>
      </c>
      <c r="AD171" s="25" t="s">
        <v>121</v>
      </c>
      <c r="AE171" s="25">
        <v>1.62</v>
      </c>
      <c r="AF171" s="25">
        <v>1</v>
      </c>
      <c r="AG171" s="25" t="s">
        <v>57</v>
      </c>
      <c r="AH171" s="26">
        <f t="shared" si="12"/>
        <v>1.415</v>
      </c>
      <c r="AI171" s="25">
        <v>18.47</v>
      </c>
      <c r="AJ171" s="25" t="s">
        <v>57</v>
      </c>
      <c r="AK171" s="25">
        <v>8</v>
      </c>
      <c r="AL171" s="25" t="s">
        <v>57</v>
      </c>
      <c r="AM171" s="25">
        <v>12</v>
      </c>
      <c r="AN171" s="25">
        <v>1</v>
      </c>
      <c r="AO171" s="26">
        <f t="shared" si="13"/>
        <v>3</v>
      </c>
    </row>
    <row r="172" spans="1:41" ht="15" hidden="1" customHeight="1">
      <c r="A172" s="25" t="s">
        <v>47</v>
      </c>
      <c r="B172" s="25" t="s">
        <v>118</v>
      </c>
      <c r="C172" s="25" t="s">
        <v>43</v>
      </c>
      <c r="D172" s="31" t="s">
        <v>122</v>
      </c>
      <c r="E172" s="25" t="str">
        <f>LEFT(Table1[[#This Row],[TeamID]],FIND("/",Table1[[#This Row],[TeamID]])-1)</f>
        <v>Mark</v>
      </c>
      <c r="F172" s="26">
        <f>Table1[[#This Row],[TC-G1-AS]]+Table1[[#This Row],[TC-G2-AS]]+Table1[[#This Row],[TC-G3-AS]]+Table1[[#This Row],[TC-G4-AS]]+Table1[[#This Row],[TC-G5-AS]]</f>
        <v>0</v>
      </c>
      <c r="L172" s="25" t="str">
        <f>SUBSTITUTE(Table1[[#This Row],[TeamID]],Table1[[#This Row],[Team Captain]]&amp;"/","")</f>
        <v>Jason</v>
      </c>
      <c r="N172" s="25">
        <v>1</v>
      </c>
      <c r="R172" s="26">
        <f>Table1[[#This Row],[P-G1-AS]]+Table1[[#This Row],[P-G2-AS]]+Table1[[#This Row],[P-G3-AS]]+Table1[[#This Row],[P-G4-AS]]+Table1[[#This Row],[P-G5-AS]]</f>
        <v>1</v>
      </c>
      <c r="S172" s="25">
        <v>31.27</v>
      </c>
      <c r="T172" s="25">
        <v>0</v>
      </c>
      <c r="W172" s="25">
        <v>50.1</v>
      </c>
      <c r="X172" s="25">
        <v>1</v>
      </c>
      <c r="Y172" s="25" t="s">
        <v>102</v>
      </c>
      <c r="Z172" s="25">
        <v>52</v>
      </c>
      <c r="AA172" s="26">
        <f t="shared" si="11"/>
        <v>40.685000000000002</v>
      </c>
      <c r="AB172" s="25">
        <v>0.92</v>
      </c>
      <c r="AC172" s="25">
        <v>0</v>
      </c>
      <c r="AE172" s="25">
        <v>1.05</v>
      </c>
      <c r="AF172" s="25">
        <v>0</v>
      </c>
      <c r="AH172" s="26">
        <f t="shared" si="12"/>
        <v>0.9850000000000001</v>
      </c>
      <c r="AI172" s="25">
        <v>29.6</v>
      </c>
      <c r="AJ172" s="25" t="s">
        <v>99</v>
      </c>
      <c r="AK172" s="25">
        <v>32</v>
      </c>
      <c r="AN172" s="25">
        <v>0</v>
      </c>
      <c r="AO172" s="26">
        <f t="shared" si="13"/>
        <v>1</v>
      </c>
    </row>
    <row r="173" spans="1:41" ht="15" hidden="1" customHeight="1">
      <c r="A173" s="25" t="s">
        <v>47</v>
      </c>
      <c r="B173" s="25" t="s">
        <v>118</v>
      </c>
      <c r="C173" s="25" t="s">
        <v>45</v>
      </c>
      <c r="D173" s="31" t="s">
        <v>123</v>
      </c>
      <c r="E173" s="25" t="str">
        <f>LEFT(Table1[[#This Row],[TeamID]],FIND("/",Table1[[#This Row],[TeamID]])-1)</f>
        <v>Brian</v>
      </c>
      <c r="F173" s="26">
        <f>Table1[[#This Row],[TC-G1-AS]]+Table1[[#This Row],[TC-G2-AS]]+Table1[[#This Row],[TC-G3-AS]]+Table1[[#This Row],[TC-G4-AS]]+Table1[[#This Row],[TC-G5-AS]]</f>
        <v>2</v>
      </c>
      <c r="I173" s="25">
        <v>2</v>
      </c>
      <c r="L173" s="25" t="s">
        <v>113</v>
      </c>
      <c r="R173" s="26">
        <f>Table1[[#This Row],[P-G1-AS]]+Table1[[#This Row],[P-G2-AS]]+Table1[[#This Row],[P-G3-AS]]+Table1[[#This Row],[P-G4-AS]]+Table1[[#This Row],[P-G5-AS]]</f>
        <v>0</v>
      </c>
      <c r="S173" s="25">
        <v>34.950000000000003</v>
      </c>
      <c r="T173" s="25">
        <v>1</v>
      </c>
      <c r="U173" s="25" t="s">
        <v>96</v>
      </c>
      <c r="V173" s="25">
        <v>8</v>
      </c>
      <c r="W173" s="25">
        <v>38.4</v>
      </c>
      <c r="X173" s="25">
        <v>0</v>
      </c>
      <c r="AA173" s="26">
        <f t="shared" si="11"/>
        <v>36.674999999999997</v>
      </c>
      <c r="AB173" s="25">
        <v>2.17</v>
      </c>
      <c r="AC173" s="25">
        <v>1</v>
      </c>
      <c r="AD173" s="25" t="s">
        <v>96</v>
      </c>
      <c r="AE173" s="25">
        <v>1.2</v>
      </c>
      <c r="AF173" s="25">
        <v>1</v>
      </c>
      <c r="AG173" s="25" t="s">
        <v>113</v>
      </c>
      <c r="AH173" s="26">
        <f t="shared" si="12"/>
        <v>1.6850000000000001</v>
      </c>
      <c r="AI173" s="25">
        <v>32.25</v>
      </c>
      <c r="AJ173" s="25" t="s">
        <v>96</v>
      </c>
      <c r="AK173" s="25">
        <v>56</v>
      </c>
      <c r="AL173" s="25" t="s">
        <v>113</v>
      </c>
      <c r="AM173" s="25">
        <v>8</v>
      </c>
      <c r="AN173" s="25">
        <v>1</v>
      </c>
      <c r="AO173" s="26">
        <f t="shared" si="13"/>
        <v>4</v>
      </c>
    </row>
    <row r="174" spans="1:41" ht="15" hidden="1" customHeight="1">
      <c r="A174" s="25" t="s">
        <v>50</v>
      </c>
      <c r="B174" s="25" t="s">
        <v>118</v>
      </c>
      <c r="C174" s="25" t="s">
        <v>43</v>
      </c>
      <c r="D174" s="31" t="s">
        <v>124</v>
      </c>
      <c r="E174" s="25" t="str">
        <f>LEFT(Table1[[#This Row],[TeamID]],FIND("/",Table1[[#This Row],[TeamID]])-1)</f>
        <v>Clarence</v>
      </c>
      <c r="F174" s="26">
        <f>Table1[[#This Row],[TC-G1-AS]]+Table1[[#This Row],[TC-G2-AS]]+Table1[[#This Row],[TC-G3-AS]]+Table1[[#This Row],[TC-G4-AS]]+Table1[[#This Row],[TC-G5-AS]]</f>
        <v>2</v>
      </c>
      <c r="G174" s="25">
        <v>2</v>
      </c>
      <c r="L174" s="25" t="str">
        <f>SUBSTITUTE(Table1[[#This Row],[TeamID]],Table1[[#This Row],[Team Captain]]&amp;"/","")</f>
        <v>Tony</v>
      </c>
      <c r="R174" s="26">
        <f>Table1[[#This Row],[P-G1-AS]]+Table1[[#This Row],[P-G2-AS]]+Table1[[#This Row],[P-G3-AS]]+Table1[[#This Row],[P-G4-AS]]+Table1[[#This Row],[P-G5-AS]]</f>
        <v>0</v>
      </c>
      <c r="S174" s="25">
        <v>32.200000000000003</v>
      </c>
      <c r="T174" s="25">
        <v>0</v>
      </c>
      <c r="W174" s="25">
        <v>49.33</v>
      </c>
      <c r="X174" s="25">
        <v>0</v>
      </c>
      <c r="AA174" s="26">
        <f t="shared" si="11"/>
        <v>40.765000000000001</v>
      </c>
      <c r="AB174" s="25">
        <v>1.05</v>
      </c>
      <c r="AC174" s="25">
        <v>0</v>
      </c>
      <c r="AE174" s="25">
        <v>1.05</v>
      </c>
      <c r="AF174" s="25">
        <v>0</v>
      </c>
      <c r="AH174" s="26">
        <f t="shared" si="12"/>
        <v>1.05</v>
      </c>
      <c r="AI174" s="25">
        <v>28.22</v>
      </c>
      <c r="AJ174" s="25" t="s">
        <v>87</v>
      </c>
      <c r="AK174" s="25">
        <v>48</v>
      </c>
      <c r="AL174" s="25" t="s">
        <v>87</v>
      </c>
      <c r="AM174" s="25">
        <v>48</v>
      </c>
      <c r="AN174" s="25">
        <v>1</v>
      </c>
      <c r="AO174" s="26">
        <f t="shared" si="13"/>
        <v>1</v>
      </c>
    </row>
    <row r="175" spans="1:41" ht="15" hidden="1" customHeight="1">
      <c r="A175" s="25" t="s">
        <v>50</v>
      </c>
      <c r="B175" s="25" t="s">
        <v>118</v>
      </c>
      <c r="C175" s="25" t="s">
        <v>45</v>
      </c>
      <c r="D175" s="31" t="s">
        <v>125</v>
      </c>
      <c r="E175" s="25" t="str">
        <f>LEFT(Table1[[#This Row],[TeamID]],FIND("/",Table1[[#This Row],[TeamID]])-1)</f>
        <v>Mike C</v>
      </c>
      <c r="F175" s="26">
        <f>Table1[[#This Row],[TC-G1-AS]]+Table1[[#This Row],[TC-G2-AS]]+Table1[[#This Row],[TC-G3-AS]]+Table1[[#This Row],[TC-G4-AS]]+Table1[[#This Row],[TC-G5-AS]]</f>
        <v>0</v>
      </c>
      <c r="L175" s="25" t="str">
        <f>SUBSTITUTE(Table1[[#This Row],[TeamID]],Table1[[#This Row],[Team Captain]]&amp;"/","")</f>
        <v>Paul</v>
      </c>
      <c r="R175" s="26">
        <f>Table1[[#This Row],[P-G1-AS]]+Table1[[#This Row],[P-G2-AS]]+Table1[[#This Row],[P-G3-AS]]+Table1[[#This Row],[P-G4-AS]]+Table1[[#This Row],[P-G5-AS]]</f>
        <v>0</v>
      </c>
      <c r="S175" s="25">
        <v>33.4</v>
      </c>
      <c r="T175" s="25">
        <v>1</v>
      </c>
      <c r="U175" s="25" t="s">
        <v>84</v>
      </c>
      <c r="V175" s="25">
        <v>9</v>
      </c>
      <c r="W175" s="25">
        <v>40.619999999999997</v>
      </c>
      <c r="X175" s="25">
        <v>1</v>
      </c>
      <c r="Y175" s="25" t="s">
        <v>94</v>
      </c>
      <c r="Z175" s="25">
        <v>2</v>
      </c>
      <c r="AA175" s="26">
        <f t="shared" si="11"/>
        <v>37.01</v>
      </c>
      <c r="AB175" s="25">
        <v>1.47</v>
      </c>
      <c r="AC175" s="25">
        <v>1</v>
      </c>
      <c r="AD175" s="25" t="s">
        <v>94</v>
      </c>
      <c r="AE175" s="25">
        <v>1.24</v>
      </c>
      <c r="AF175" s="25">
        <v>1</v>
      </c>
      <c r="AG175" s="25" t="s">
        <v>84</v>
      </c>
      <c r="AH175" s="26">
        <f t="shared" si="12"/>
        <v>1.355</v>
      </c>
      <c r="AI175" s="25">
        <v>23.3</v>
      </c>
      <c r="AJ175" s="25" t="s">
        <v>94</v>
      </c>
      <c r="AK175" s="25">
        <v>30</v>
      </c>
      <c r="AN175" s="25">
        <v>0</v>
      </c>
      <c r="AO175" s="26">
        <f t="shared" si="13"/>
        <v>4</v>
      </c>
    </row>
    <row r="176" spans="1:41" ht="15" hidden="1" customHeight="1">
      <c r="A176" s="25" t="s">
        <v>53</v>
      </c>
      <c r="B176" s="25" t="s">
        <v>118</v>
      </c>
      <c r="C176" s="25" t="s">
        <v>43</v>
      </c>
      <c r="D176" s="31" t="s">
        <v>126</v>
      </c>
      <c r="E176" s="25" t="str">
        <f>LEFT(Table1[[#This Row],[TeamID]],FIND("/",Table1[[#This Row],[TeamID]])-1)</f>
        <v>Daniel</v>
      </c>
      <c r="F176" s="26">
        <f>Table1[[#This Row],[TC-G1-AS]]+Table1[[#This Row],[TC-G2-AS]]+Table1[[#This Row],[TC-G3-AS]]+Table1[[#This Row],[TC-G4-AS]]+Table1[[#This Row],[TC-G5-AS]]</f>
        <v>0</v>
      </c>
      <c r="L176" s="25" t="str">
        <f>SUBSTITUTE(Table1[[#This Row],[TeamID]],Table1[[#This Row],[Team Captain]]&amp;"/","")</f>
        <v>Art</v>
      </c>
      <c r="R176" s="26">
        <f>Table1[[#This Row],[P-G1-AS]]+Table1[[#This Row],[P-G2-AS]]+Table1[[#This Row],[P-G3-AS]]+Table1[[#This Row],[P-G4-AS]]+Table1[[#This Row],[P-G5-AS]]</f>
        <v>0</v>
      </c>
      <c r="S176" s="25">
        <v>26.64</v>
      </c>
      <c r="T176" s="25">
        <v>1</v>
      </c>
      <c r="U176" s="25" t="s">
        <v>89</v>
      </c>
      <c r="V176" s="25">
        <v>4</v>
      </c>
      <c r="W176" s="25">
        <v>30.44</v>
      </c>
      <c r="X176" s="25">
        <v>0</v>
      </c>
      <c r="AA176" s="26">
        <f t="shared" si="11"/>
        <v>28.54</v>
      </c>
      <c r="AB176" s="25">
        <v>1.53</v>
      </c>
      <c r="AC176" s="25">
        <v>0</v>
      </c>
      <c r="AE176" s="25">
        <v>1.1399999999999999</v>
      </c>
      <c r="AF176" s="25">
        <v>0</v>
      </c>
      <c r="AH176" s="26">
        <f t="shared" si="12"/>
        <v>1.335</v>
      </c>
      <c r="AI176" s="25">
        <v>17.59</v>
      </c>
      <c r="AJ176" s="25" t="s">
        <v>89</v>
      </c>
      <c r="AK176" s="25">
        <v>10</v>
      </c>
      <c r="AN176" s="25">
        <v>0</v>
      </c>
      <c r="AO176" s="26">
        <f t="shared" si="13"/>
        <v>1</v>
      </c>
    </row>
    <row r="177" spans="1:41" ht="15" hidden="1" customHeight="1">
      <c r="A177" s="25" t="s">
        <v>53</v>
      </c>
      <c r="B177" s="25" t="s">
        <v>118</v>
      </c>
      <c r="C177" s="25" t="s">
        <v>45</v>
      </c>
      <c r="D177" s="31" t="s">
        <v>127</v>
      </c>
      <c r="E177" s="25" t="str">
        <f>LEFT(Table1[[#This Row],[TeamID]],FIND("/",Table1[[#This Row],[TeamID]])-1)</f>
        <v>Todd</v>
      </c>
      <c r="F177" s="26">
        <f>Table1[[#This Row],[TC-G1-AS]]+Table1[[#This Row],[TC-G2-AS]]+Table1[[#This Row],[TC-G3-AS]]+Table1[[#This Row],[TC-G4-AS]]+Table1[[#This Row],[TC-G5-AS]]</f>
        <v>1</v>
      </c>
      <c r="I177" s="25">
        <v>1</v>
      </c>
      <c r="L177" s="25" t="str">
        <f>SUBSTITUTE(Table1[[#This Row],[TeamID]],Table1[[#This Row],[Team Captain]]&amp;"/","")</f>
        <v>Neil</v>
      </c>
      <c r="M177" s="25">
        <v>2</v>
      </c>
      <c r="Q177" s="25">
        <v>1</v>
      </c>
      <c r="R177" s="26">
        <f>Table1[[#This Row],[P-G1-AS]]+Table1[[#This Row],[P-G2-AS]]+Table1[[#This Row],[P-G3-AS]]+Table1[[#This Row],[P-G4-AS]]+Table1[[#This Row],[P-G5-AS]]</f>
        <v>3</v>
      </c>
      <c r="S177" s="25">
        <v>24.1</v>
      </c>
      <c r="T177" s="25">
        <v>0</v>
      </c>
      <c r="W177" s="25">
        <v>30.67</v>
      </c>
      <c r="X177" s="25">
        <v>1</v>
      </c>
      <c r="Y177" s="25" t="s">
        <v>97</v>
      </c>
      <c r="Z177" s="25">
        <v>6</v>
      </c>
      <c r="AA177" s="26">
        <f t="shared" si="11"/>
        <v>27.385000000000002</v>
      </c>
      <c r="AB177" s="25">
        <v>1.67</v>
      </c>
      <c r="AC177" s="25">
        <v>1</v>
      </c>
      <c r="AD177" s="25" t="s">
        <v>97</v>
      </c>
      <c r="AE177" s="25">
        <v>1.57</v>
      </c>
      <c r="AF177" s="25">
        <v>1</v>
      </c>
      <c r="AG177" s="25" t="s">
        <v>97</v>
      </c>
      <c r="AH177" s="26">
        <f t="shared" si="12"/>
        <v>1.62</v>
      </c>
      <c r="AI177" s="25">
        <v>18.059999999999999</v>
      </c>
      <c r="AJ177" s="25" t="s">
        <v>92</v>
      </c>
      <c r="AK177" s="25">
        <v>60</v>
      </c>
      <c r="AL177" s="25" t="s">
        <v>92</v>
      </c>
      <c r="AM177" s="25">
        <v>11</v>
      </c>
      <c r="AN177" s="25">
        <v>1</v>
      </c>
      <c r="AO177" s="26">
        <f t="shared" si="13"/>
        <v>4</v>
      </c>
    </row>
    <row r="178" spans="1:41" ht="15" hidden="1" customHeight="1">
      <c r="A178" s="25" t="s">
        <v>58</v>
      </c>
      <c r="B178" s="25" t="s">
        <v>118</v>
      </c>
      <c r="C178" s="25" t="s">
        <v>43</v>
      </c>
      <c r="D178" s="31" t="s">
        <v>125</v>
      </c>
      <c r="E178" s="25" t="str">
        <f>LEFT(Table1[[#This Row],[TeamID]],FIND("/",Table1[[#This Row],[TeamID]])-1)</f>
        <v>Mike C</v>
      </c>
      <c r="F178" s="26">
        <f>Table1[[#This Row],[TC-G1-AS]]+Table1[[#This Row],[TC-G2-AS]]+Table1[[#This Row],[TC-G3-AS]]+Table1[[#This Row],[TC-G4-AS]]+Table1[[#This Row],[TC-G5-AS]]</f>
        <v>4</v>
      </c>
      <c r="G178" s="25">
        <v>1</v>
      </c>
      <c r="I178" s="25">
        <v>1</v>
      </c>
      <c r="J178" s="25">
        <v>1</v>
      </c>
      <c r="K178" s="25">
        <v>1</v>
      </c>
      <c r="L178" s="25" t="str">
        <f>SUBSTITUTE(Table1[[#This Row],[TeamID]],Table1[[#This Row],[Team Captain]]&amp;"/","")</f>
        <v>Paul</v>
      </c>
      <c r="R178" s="26">
        <f>Table1[[#This Row],[P-G1-AS]]+Table1[[#This Row],[P-G2-AS]]+Table1[[#This Row],[P-G3-AS]]+Table1[[#This Row],[P-G4-AS]]+Table1[[#This Row],[P-G5-AS]]</f>
        <v>0</v>
      </c>
      <c r="S178" s="25">
        <v>28.35</v>
      </c>
      <c r="T178" s="25">
        <v>0</v>
      </c>
      <c r="W178" s="25">
        <v>39.58</v>
      </c>
      <c r="X178" s="25">
        <v>0</v>
      </c>
      <c r="AA178" s="26">
        <f t="shared" si="11"/>
        <v>33.965000000000003</v>
      </c>
      <c r="AB178" s="25">
        <v>1.35</v>
      </c>
      <c r="AC178" s="25">
        <v>0</v>
      </c>
      <c r="AE178" s="25">
        <v>1.33</v>
      </c>
      <c r="AF178" s="25">
        <v>0</v>
      </c>
      <c r="AH178" s="26">
        <f t="shared" si="12"/>
        <v>1.34</v>
      </c>
      <c r="AI178" s="25">
        <v>36.119999999999997</v>
      </c>
      <c r="AJ178" s="25" t="s">
        <v>94</v>
      </c>
      <c r="AK178" s="25">
        <v>34</v>
      </c>
      <c r="AL178" s="25" t="s">
        <v>94</v>
      </c>
      <c r="AM178" s="25">
        <v>20</v>
      </c>
      <c r="AN178" s="25">
        <f>1 - Table1[[#This Row],[G1 501 Pts]]</f>
        <v>1</v>
      </c>
      <c r="AO178" s="26">
        <f t="shared" si="13"/>
        <v>1</v>
      </c>
    </row>
    <row r="179" spans="1:41" ht="15" hidden="1" customHeight="1">
      <c r="A179" s="25" t="s">
        <v>58</v>
      </c>
      <c r="B179" s="25" t="s">
        <v>118</v>
      </c>
      <c r="C179" s="25" t="s">
        <v>45</v>
      </c>
      <c r="D179" s="31" t="s">
        <v>128</v>
      </c>
      <c r="E179" s="25" t="str">
        <f>LEFT(Table1[[#This Row],[TeamID]],FIND("/",Table1[[#This Row],[TeamID]])-1)</f>
        <v>Tayven</v>
      </c>
      <c r="F179" s="26">
        <f>Table1[[#This Row],[TC-G1-AS]]+Table1[[#This Row],[TC-G2-AS]]+Table1[[#This Row],[TC-G3-AS]]+Table1[[#This Row],[TC-G4-AS]]+Table1[[#This Row],[TC-G5-AS]]</f>
        <v>0</v>
      </c>
      <c r="L179" s="25" t="str">
        <f>SUBSTITUTE(Table1[[#This Row],[TeamID]],Table1[[#This Row],[Team Captain]]&amp;"/","")</f>
        <v>Mike H</v>
      </c>
      <c r="O179" s="25">
        <v>1</v>
      </c>
      <c r="R179" s="26">
        <f>Table1[[#This Row],[P-G1-AS]]+Table1[[#This Row],[P-G2-AS]]+Table1[[#This Row],[P-G3-AS]]+Table1[[#This Row],[P-G4-AS]]+Table1[[#This Row],[P-G5-AS]]</f>
        <v>1</v>
      </c>
      <c r="S179" s="25">
        <v>28.9</v>
      </c>
      <c r="T179" s="25">
        <v>1</v>
      </c>
      <c r="U179" s="25" t="s">
        <v>86</v>
      </c>
      <c r="V179" s="25">
        <v>40</v>
      </c>
      <c r="W179" s="25">
        <v>44.21</v>
      </c>
      <c r="X179" s="25">
        <v>1</v>
      </c>
      <c r="Y179" s="25" t="s">
        <v>91</v>
      </c>
      <c r="Z179" s="25">
        <v>2</v>
      </c>
      <c r="AA179" s="26">
        <f t="shared" si="11"/>
        <v>36.555</v>
      </c>
      <c r="AB179" s="25">
        <v>1.57</v>
      </c>
      <c r="AC179" s="25">
        <v>1</v>
      </c>
      <c r="AD179" s="25" t="s">
        <v>91</v>
      </c>
      <c r="AE179" s="25">
        <v>1.47</v>
      </c>
      <c r="AF179" s="25">
        <v>1</v>
      </c>
      <c r="AG179" s="25" t="s">
        <v>86</v>
      </c>
      <c r="AH179" s="26">
        <f t="shared" si="12"/>
        <v>1.52</v>
      </c>
      <c r="AI179" s="25">
        <v>18.5</v>
      </c>
      <c r="AJ179" s="25" t="s">
        <v>86</v>
      </c>
      <c r="AK179" s="25">
        <v>61</v>
      </c>
      <c r="AN179" s="25">
        <f>1 - Table1[[#This Row],[G1 501 Pts]]</f>
        <v>0</v>
      </c>
      <c r="AO179" s="26">
        <f t="shared" si="13"/>
        <v>4</v>
      </c>
    </row>
    <row r="180" spans="1:41" ht="15" hidden="1" customHeight="1">
      <c r="A180" s="25" t="s">
        <v>59</v>
      </c>
      <c r="B180" s="25" t="s">
        <v>118</v>
      </c>
      <c r="C180" s="25" t="s">
        <v>43</v>
      </c>
      <c r="D180" s="31" t="s">
        <v>126</v>
      </c>
      <c r="E180" s="25" t="str">
        <f>LEFT(Table1[[#This Row],[TeamID]],FIND("/",Table1[[#This Row],[TeamID]])-1)</f>
        <v>Daniel</v>
      </c>
      <c r="F180" s="26">
        <f>Table1[[#This Row],[TC-G1-AS]]+Table1[[#This Row],[TC-G2-AS]]+Table1[[#This Row],[TC-G3-AS]]+Table1[[#This Row],[TC-G4-AS]]+Table1[[#This Row],[TC-G5-AS]]</f>
        <v>4</v>
      </c>
      <c r="J180" s="25">
        <v>4</v>
      </c>
      <c r="L180" s="25" t="str">
        <f>SUBSTITUTE(Table1[[#This Row],[TeamID]],Table1[[#This Row],[Team Captain]]&amp;"/","")</f>
        <v>Art</v>
      </c>
      <c r="R180" s="26">
        <f>Table1[[#This Row],[P-G1-AS]]+Table1[[#This Row],[P-G2-AS]]+Table1[[#This Row],[P-G3-AS]]+Table1[[#This Row],[P-G4-AS]]+Table1[[#This Row],[P-G5-AS]]</f>
        <v>0</v>
      </c>
      <c r="S180" s="25">
        <v>40.619999999999997</v>
      </c>
      <c r="T180" s="25">
        <v>1</v>
      </c>
      <c r="U180" s="25" t="s">
        <v>89</v>
      </c>
      <c r="V180" s="25">
        <v>4</v>
      </c>
      <c r="W180" s="25">
        <v>29.18</v>
      </c>
      <c r="X180" s="25">
        <v>0</v>
      </c>
      <c r="AA180" s="26">
        <f t="shared" si="11"/>
        <v>34.9</v>
      </c>
      <c r="AB180" s="25">
        <v>1.4</v>
      </c>
      <c r="AC180" s="25">
        <v>0</v>
      </c>
      <c r="AE180" s="25">
        <v>1.21</v>
      </c>
      <c r="AF180" s="25">
        <v>0</v>
      </c>
      <c r="AH180" s="26">
        <f t="shared" si="12"/>
        <v>1.3049999999999999</v>
      </c>
      <c r="AI180" s="25">
        <v>17.78</v>
      </c>
      <c r="AJ180" s="25" t="s">
        <v>89</v>
      </c>
      <c r="AK180" s="25">
        <v>60</v>
      </c>
      <c r="AN180" s="25">
        <f>1 - Table1[[#This Row],[G1 501 Pts]]</f>
        <v>0</v>
      </c>
      <c r="AO180" s="26">
        <f t="shared" si="13"/>
        <v>1</v>
      </c>
    </row>
    <row r="181" spans="1:41" ht="15" hidden="1" customHeight="1">
      <c r="A181" s="25" t="s">
        <v>59</v>
      </c>
      <c r="B181" s="25" t="s">
        <v>118</v>
      </c>
      <c r="C181" s="25" t="s">
        <v>45</v>
      </c>
      <c r="D181" s="31" t="s">
        <v>124</v>
      </c>
      <c r="E181" s="25" t="str">
        <f>LEFT(Table1[[#This Row],[TeamID]],FIND("/",Table1[[#This Row],[TeamID]])-1)</f>
        <v>Clarence</v>
      </c>
      <c r="F181" s="26">
        <f>Table1[[#This Row],[TC-G1-AS]]+Table1[[#This Row],[TC-G2-AS]]+Table1[[#This Row],[TC-G3-AS]]+Table1[[#This Row],[TC-G4-AS]]+Table1[[#This Row],[TC-G5-AS]]</f>
        <v>1</v>
      </c>
      <c r="I181" s="25">
        <v>1</v>
      </c>
      <c r="L181" s="25" t="str">
        <f>SUBSTITUTE(Table1[[#This Row],[TeamID]],Table1[[#This Row],[Team Captain]]&amp;"/","")</f>
        <v>Tony</v>
      </c>
      <c r="R181" s="26">
        <f>Table1[[#This Row],[P-G1-AS]]+Table1[[#This Row],[P-G2-AS]]+Table1[[#This Row],[P-G3-AS]]+Table1[[#This Row],[P-G4-AS]]+Table1[[#This Row],[P-G5-AS]]</f>
        <v>0</v>
      </c>
      <c r="S181" s="25">
        <v>31.58</v>
      </c>
      <c r="T181" s="25">
        <v>0</v>
      </c>
      <c r="W181" s="25">
        <v>28.9</v>
      </c>
      <c r="X181" s="25">
        <v>1</v>
      </c>
      <c r="Y181" s="25" t="s">
        <v>101</v>
      </c>
      <c r="Z181" s="25">
        <v>2</v>
      </c>
      <c r="AA181" s="26">
        <f t="shared" si="11"/>
        <v>30.24</v>
      </c>
      <c r="AB181" s="25">
        <v>1.46</v>
      </c>
      <c r="AC181" s="25">
        <v>1</v>
      </c>
      <c r="AD181" s="25" t="s">
        <v>101</v>
      </c>
      <c r="AE181" s="25">
        <v>1.58</v>
      </c>
      <c r="AF181" s="25">
        <v>1</v>
      </c>
      <c r="AG181" s="25" t="s">
        <v>87</v>
      </c>
      <c r="AH181" s="26">
        <f t="shared" si="12"/>
        <v>1.52</v>
      </c>
      <c r="AI181" s="25">
        <v>33.44</v>
      </c>
      <c r="AJ181" s="25" t="s">
        <v>87</v>
      </c>
      <c r="AK181" s="25">
        <v>14</v>
      </c>
      <c r="AL181" s="25" t="s">
        <v>87</v>
      </c>
      <c r="AM181" s="25">
        <v>89</v>
      </c>
      <c r="AN181" s="25">
        <f>1 - Table1[[#This Row],[G1 501 Pts]]</f>
        <v>1</v>
      </c>
      <c r="AO181" s="26">
        <f t="shared" si="13"/>
        <v>4</v>
      </c>
    </row>
    <row r="182" spans="1:41" ht="15" hidden="1" customHeight="1">
      <c r="A182" s="25" t="s">
        <v>60</v>
      </c>
      <c r="B182" s="25" t="s">
        <v>118</v>
      </c>
      <c r="C182" s="25" t="s">
        <v>43</v>
      </c>
      <c r="D182" s="31" t="s">
        <v>122</v>
      </c>
      <c r="E182" s="25" t="str">
        <f>LEFT(Table1[[#This Row],[TeamID]],FIND("/",Table1[[#This Row],[TeamID]])-1)</f>
        <v>Mark</v>
      </c>
      <c r="F182" s="26">
        <f>Table1[[#This Row],[TC-G1-AS]]+Table1[[#This Row],[TC-G2-AS]]+Table1[[#This Row],[TC-G3-AS]]+Table1[[#This Row],[TC-G4-AS]]+Table1[[#This Row],[TC-G5-AS]]</f>
        <v>1</v>
      </c>
      <c r="I182" s="25">
        <v>1</v>
      </c>
      <c r="L182" s="25" t="str">
        <f>SUBSTITUTE(Table1[[#This Row],[TeamID]],Table1[[#This Row],[Team Captain]]&amp;"/","")</f>
        <v>Jason</v>
      </c>
      <c r="Q182" s="25">
        <v>2</v>
      </c>
      <c r="R182" s="26">
        <f>Table1[[#This Row],[P-G1-AS]]+Table1[[#This Row],[P-G2-AS]]+Table1[[#This Row],[P-G3-AS]]+Table1[[#This Row],[P-G4-AS]]+Table1[[#This Row],[P-G5-AS]]</f>
        <v>2</v>
      </c>
      <c r="S182" s="25">
        <v>30.94</v>
      </c>
      <c r="T182" s="25">
        <v>0</v>
      </c>
      <c r="W182" s="25">
        <v>23.29</v>
      </c>
      <c r="X182" s="25">
        <v>0</v>
      </c>
      <c r="AA182" s="26">
        <f t="shared" si="11"/>
        <v>27.115000000000002</v>
      </c>
      <c r="AB182" s="25">
        <v>1.37</v>
      </c>
      <c r="AC182" s="25">
        <v>1</v>
      </c>
      <c r="AD182" s="25" t="s">
        <v>102</v>
      </c>
      <c r="AE182" s="25">
        <v>1.27</v>
      </c>
      <c r="AF182" s="25">
        <v>1</v>
      </c>
      <c r="AG182" s="25" t="s">
        <v>102</v>
      </c>
      <c r="AH182" s="26">
        <f t="shared" si="12"/>
        <v>1.32</v>
      </c>
      <c r="AI182" s="25">
        <v>14.56</v>
      </c>
      <c r="AJ182" s="25" t="s">
        <v>99</v>
      </c>
      <c r="AK182" s="25">
        <v>96</v>
      </c>
      <c r="AL182" s="25" t="s">
        <v>99</v>
      </c>
      <c r="AM182" s="25">
        <v>7</v>
      </c>
      <c r="AN182" s="25">
        <f>1 - Table1[[#This Row],[G1 501 Pts]]</f>
        <v>1</v>
      </c>
      <c r="AO182" s="26">
        <f t="shared" si="13"/>
        <v>3</v>
      </c>
    </row>
    <row r="183" spans="1:41" ht="15" hidden="1" customHeight="1">
      <c r="A183" s="25" t="s">
        <v>60</v>
      </c>
      <c r="B183" s="25" t="s">
        <v>118</v>
      </c>
      <c r="C183" s="25" t="s">
        <v>45</v>
      </c>
      <c r="D183" s="31" t="s">
        <v>119</v>
      </c>
      <c r="E183" s="25" t="str">
        <f>LEFT(Table1[[#This Row],[TeamID]],FIND("/",Table1[[#This Row],[TeamID]])-1)</f>
        <v>Kevin</v>
      </c>
      <c r="F183" s="26">
        <f>Table1[[#This Row],[TC-G1-AS]]+Table1[[#This Row],[TC-G2-AS]]+Table1[[#This Row],[TC-G3-AS]]+Table1[[#This Row],[TC-G4-AS]]+Table1[[#This Row],[TC-G5-AS]]</f>
        <v>1</v>
      </c>
      <c r="I183" s="25">
        <v>1</v>
      </c>
      <c r="L183" s="25" t="str">
        <f>SUBSTITUTE(Table1[[#This Row],[TeamID]],Table1[[#This Row],[Team Captain]]&amp;"/","")</f>
        <v>Jeremy</v>
      </c>
      <c r="R183" s="26">
        <f>Table1[[#This Row],[P-G1-AS]]+Table1[[#This Row],[P-G2-AS]]+Table1[[#This Row],[P-G3-AS]]+Table1[[#This Row],[P-G4-AS]]+Table1[[#This Row],[P-G5-AS]]</f>
        <v>0</v>
      </c>
      <c r="S183" s="25">
        <v>30.06</v>
      </c>
      <c r="T183" s="25">
        <v>1</v>
      </c>
      <c r="U183" s="25" t="s">
        <v>55</v>
      </c>
      <c r="V183" s="25">
        <v>2</v>
      </c>
      <c r="W183" s="25">
        <v>24.24</v>
      </c>
      <c r="X183" s="25">
        <v>1</v>
      </c>
      <c r="Y183" s="25" t="s">
        <v>116</v>
      </c>
      <c r="Z183" s="25">
        <v>2</v>
      </c>
      <c r="AA183" s="26">
        <f t="shared" si="11"/>
        <v>27.15</v>
      </c>
      <c r="AB183" s="25">
        <v>1</v>
      </c>
      <c r="AC183" s="25">
        <v>0</v>
      </c>
      <c r="AE183" s="25">
        <v>1.1399999999999999</v>
      </c>
      <c r="AF183" s="25">
        <v>0</v>
      </c>
      <c r="AH183" s="26">
        <f t="shared" si="12"/>
        <v>1.0699999999999998</v>
      </c>
      <c r="AI183" s="25">
        <v>13.95</v>
      </c>
      <c r="AJ183" s="25" t="s">
        <v>55</v>
      </c>
      <c r="AK183" s="25">
        <v>52</v>
      </c>
      <c r="AN183" s="25">
        <v>0</v>
      </c>
      <c r="AO183" s="26">
        <f t="shared" si="13"/>
        <v>2</v>
      </c>
    </row>
    <row r="184" spans="1:41" ht="15" hidden="1" customHeight="1">
      <c r="A184" s="25" t="s">
        <v>61</v>
      </c>
      <c r="B184" s="25" t="s">
        <v>118</v>
      </c>
      <c r="C184" s="25" t="s">
        <v>43</v>
      </c>
      <c r="D184" s="31" t="s">
        <v>127</v>
      </c>
      <c r="E184" s="25" t="str">
        <f>LEFT(Table1[[#This Row],[TeamID]],FIND("/",Table1[[#This Row],[TeamID]])-1)</f>
        <v>Todd</v>
      </c>
      <c r="F184" s="26">
        <f>Table1[[#This Row],[TC-G1-AS]]+Table1[[#This Row],[TC-G2-AS]]+Table1[[#This Row],[TC-G3-AS]]+Table1[[#This Row],[TC-G4-AS]]+Table1[[#This Row],[TC-G5-AS]]</f>
        <v>0</v>
      </c>
      <c r="L184" s="25" t="str">
        <f>SUBSTITUTE(Table1[[#This Row],[TeamID]],Table1[[#This Row],[Team Captain]]&amp;"/","")</f>
        <v>Neil</v>
      </c>
      <c r="N184" s="25">
        <v>1</v>
      </c>
      <c r="Q184" s="25">
        <v>1</v>
      </c>
      <c r="R184" s="26">
        <f>Table1[[#This Row],[P-G1-AS]]+Table1[[#This Row],[P-G2-AS]]+Table1[[#This Row],[P-G3-AS]]+Table1[[#This Row],[P-G4-AS]]+Table1[[#This Row],[P-G5-AS]]</f>
        <v>2</v>
      </c>
      <c r="S184" s="25">
        <v>26.5</v>
      </c>
      <c r="T184" s="25">
        <v>0</v>
      </c>
      <c r="W184" s="25">
        <v>29</v>
      </c>
      <c r="X184" s="25">
        <v>0</v>
      </c>
      <c r="AA184" s="26">
        <f t="shared" si="11"/>
        <v>27.75</v>
      </c>
      <c r="AB184" s="25">
        <v>1.2</v>
      </c>
      <c r="AC184" s="25">
        <v>0</v>
      </c>
      <c r="AE184" s="25">
        <v>1.05</v>
      </c>
      <c r="AF184" s="25">
        <v>0</v>
      </c>
      <c r="AH184" s="26">
        <f t="shared" si="12"/>
        <v>1.125</v>
      </c>
      <c r="AI184" s="25">
        <v>34.729999999999997</v>
      </c>
      <c r="AJ184" s="25" t="s">
        <v>97</v>
      </c>
      <c r="AK184" s="25">
        <v>18</v>
      </c>
      <c r="AL184" s="25" t="s">
        <v>92</v>
      </c>
      <c r="AM184" s="25">
        <v>46</v>
      </c>
      <c r="AN184" s="25">
        <v>1</v>
      </c>
      <c r="AO184" s="26">
        <f t="shared" si="13"/>
        <v>1</v>
      </c>
    </row>
    <row r="185" spans="1:41" ht="15" hidden="1" customHeight="1">
      <c r="A185" s="25" t="s">
        <v>61</v>
      </c>
      <c r="B185" s="25" t="s">
        <v>118</v>
      </c>
      <c r="C185" s="25" t="s">
        <v>45</v>
      </c>
      <c r="D185" s="31" t="s">
        <v>120</v>
      </c>
      <c r="E185" s="25" t="str">
        <f>LEFT(Table1[[#This Row],[TeamID]],FIND("/",Table1[[#This Row],[TeamID]])-1)</f>
        <v>Mike A</v>
      </c>
      <c r="F185" s="26">
        <f>Table1[[#This Row],[TC-G1-AS]]+Table1[[#This Row],[TC-G2-AS]]+Table1[[#This Row],[TC-G3-AS]]+Table1[[#This Row],[TC-G4-AS]]+Table1[[#This Row],[TC-G5-AS]]</f>
        <v>3</v>
      </c>
      <c r="G185" s="25">
        <v>1</v>
      </c>
      <c r="H185" s="25">
        <v>1</v>
      </c>
      <c r="K185" s="25">
        <v>1</v>
      </c>
      <c r="L185" s="25" t="str">
        <f>SUBSTITUTE(Table1[[#This Row],[TeamID]],Table1[[#This Row],[Team Captain]]&amp;"/","")</f>
        <v>Tristan</v>
      </c>
      <c r="R185" s="26">
        <f>Table1[[#This Row],[P-G1-AS]]+Table1[[#This Row],[P-G2-AS]]+Table1[[#This Row],[P-G3-AS]]+Table1[[#This Row],[P-G4-AS]]+Table1[[#This Row],[P-G5-AS]]</f>
        <v>0</v>
      </c>
      <c r="S185" s="25">
        <v>42.94</v>
      </c>
      <c r="T185" s="25">
        <v>1</v>
      </c>
      <c r="U185" s="25" t="s">
        <v>121</v>
      </c>
      <c r="V185" s="25">
        <v>31</v>
      </c>
      <c r="W185" s="25">
        <v>28.36</v>
      </c>
      <c r="X185" s="25">
        <v>1</v>
      </c>
      <c r="Y185" s="25" t="s">
        <v>57</v>
      </c>
      <c r="Z185" s="25">
        <v>8</v>
      </c>
      <c r="AA185" s="26">
        <f t="shared" si="11"/>
        <v>35.65</v>
      </c>
      <c r="AB185" s="25">
        <v>1.29</v>
      </c>
      <c r="AC185" s="25">
        <v>1</v>
      </c>
      <c r="AD185" s="25" t="s">
        <v>121</v>
      </c>
      <c r="AE185" s="25">
        <v>1.42</v>
      </c>
      <c r="AF185" s="25">
        <v>1</v>
      </c>
      <c r="AG185" s="25" t="s">
        <v>57</v>
      </c>
      <c r="AH185" s="26">
        <f t="shared" si="12"/>
        <v>1.355</v>
      </c>
      <c r="AI185" s="25">
        <v>36.380000000000003</v>
      </c>
      <c r="AJ185" s="25" t="s">
        <v>57</v>
      </c>
      <c r="AK185" s="25">
        <v>22</v>
      </c>
      <c r="AN185" s="25">
        <v>0</v>
      </c>
      <c r="AO185" s="26">
        <f t="shared" si="13"/>
        <v>4</v>
      </c>
    </row>
    <row r="186" spans="1:41" ht="15" hidden="1" customHeight="1">
      <c r="A186" s="25" t="s">
        <v>62</v>
      </c>
      <c r="B186" s="25" t="s">
        <v>118</v>
      </c>
      <c r="C186" s="25" t="s">
        <v>43</v>
      </c>
      <c r="D186" s="31" t="s">
        <v>123</v>
      </c>
      <c r="E186" s="25" t="str">
        <f>LEFT(Table1[[#This Row],[TeamID]],FIND("/",Table1[[#This Row],[TeamID]])-1)</f>
        <v>Brian</v>
      </c>
      <c r="F186" s="26">
        <f>Table1[[#This Row],[TC-G1-AS]]+Table1[[#This Row],[TC-G2-AS]]+Table1[[#This Row],[TC-G3-AS]]+Table1[[#This Row],[TC-G4-AS]]+Table1[[#This Row],[TC-G5-AS]]</f>
        <v>1</v>
      </c>
      <c r="J186" s="25">
        <v>1</v>
      </c>
      <c r="L186" s="25" t="s">
        <v>113</v>
      </c>
      <c r="R186" s="26">
        <f>Table1[[#This Row],[P-G1-AS]]+Table1[[#This Row],[P-G2-AS]]+Table1[[#This Row],[P-G3-AS]]+Table1[[#This Row],[P-G4-AS]]+Table1[[#This Row],[P-G5-AS]]</f>
        <v>0</v>
      </c>
      <c r="S186" s="25">
        <v>40</v>
      </c>
      <c r="T186" s="25">
        <v>0</v>
      </c>
      <c r="W186" s="25">
        <v>35.79</v>
      </c>
      <c r="X186" s="25">
        <v>1</v>
      </c>
      <c r="Y186" s="25" t="s">
        <v>96</v>
      </c>
      <c r="Z186" s="25">
        <v>18</v>
      </c>
      <c r="AA186" s="26">
        <f t="shared" si="11"/>
        <v>37.894999999999996</v>
      </c>
      <c r="AB186" s="25">
        <v>1.33</v>
      </c>
      <c r="AC186" s="25">
        <v>1</v>
      </c>
      <c r="AD186" s="25" t="s">
        <v>96</v>
      </c>
      <c r="AE186" s="25">
        <v>1.6</v>
      </c>
      <c r="AF186" s="25">
        <v>1</v>
      </c>
      <c r="AG186" s="25" t="s">
        <v>96</v>
      </c>
      <c r="AH186" s="26">
        <f t="shared" si="12"/>
        <v>1.4650000000000001</v>
      </c>
      <c r="AI186" s="25">
        <v>41.05</v>
      </c>
      <c r="AJ186" s="25" t="s">
        <v>96</v>
      </c>
      <c r="AK186" s="25">
        <v>36</v>
      </c>
      <c r="AL186" s="25" t="s">
        <v>129</v>
      </c>
      <c r="AM186" s="25">
        <v>24</v>
      </c>
      <c r="AN186" s="25">
        <v>1</v>
      </c>
      <c r="AO186" s="26">
        <f t="shared" si="13"/>
        <v>4</v>
      </c>
    </row>
    <row r="187" spans="1:41" ht="15" hidden="1" customHeight="1">
      <c r="A187" s="25" t="s">
        <v>62</v>
      </c>
      <c r="B187" s="25" t="s">
        <v>118</v>
      </c>
      <c r="C187" s="25" t="s">
        <v>45</v>
      </c>
      <c r="D187" s="31" t="s">
        <v>119</v>
      </c>
      <c r="E187" s="25" t="str">
        <f>LEFT(Table1[[#This Row],[TeamID]],FIND("/",Table1[[#This Row],[TeamID]])-1)</f>
        <v>Kevin</v>
      </c>
      <c r="F187" s="26">
        <f>Table1[[#This Row],[TC-G1-AS]]+Table1[[#This Row],[TC-G2-AS]]+Table1[[#This Row],[TC-G3-AS]]+Table1[[#This Row],[TC-G4-AS]]+Table1[[#This Row],[TC-G5-AS]]</f>
        <v>1</v>
      </c>
      <c r="G187" s="25">
        <v>1</v>
      </c>
      <c r="L187" s="25" t="str">
        <f>SUBSTITUTE(Table1[[#This Row],[TeamID]],Table1[[#This Row],[Team Captain]]&amp;"/","")</f>
        <v>Jeremy</v>
      </c>
      <c r="R187" s="26">
        <f>Table1[[#This Row],[P-G1-AS]]+Table1[[#This Row],[P-G2-AS]]+Table1[[#This Row],[P-G3-AS]]+Table1[[#This Row],[P-G4-AS]]+Table1[[#This Row],[P-G5-AS]]</f>
        <v>0</v>
      </c>
      <c r="S187" s="25">
        <v>57.81</v>
      </c>
      <c r="T187" s="25">
        <v>1</v>
      </c>
      <c r="U187" s="25" t="s">
        <v>55</v>
      </c>
      <c r="V187" s="25">
        <v>59</v>
      </c>
      <c r="W187" s="25">
        <v>39.24</v>
      </c>
      <c r="X187" s="25">
        <v>0</v>
      </c>
      <c r="AA187" s="26">
        <f t="shared" si="11"/>
        <v>48.525000000000006</v>
      </c>
      <c r="AB187" s="25">
        <v>1.29</v>
      </c>
      <c r="AC187" s="25">
        <v>0</v>
      </c>
      <c r="AE187" s="25">
        <v>1.32</v>
      </c>
      <c r="AF187" s="25">
        <v>0</v>
      </c>
      <c r="AH187" s="26">
        <f t="shared" si="12"/>
        <v>1.3050000000000002</v>
      </c>
      <c r="AI187" s="25">
        <v>33.57</v>
      </c>
      <c r="AJ187" s="25" t="s">
        <v>55</v>
      </c>
      <c r="AK187" s="25">
        <v>21</v>
      </c>
      <c r="AN187" s="25">
        <v>0</v>
      </c>
      <c r="AO187" s="26">
        <f t="shared" si="13"/>
        <v>1</v>
      </c>
    </row>
    <row r="188" spans="1:41" ht="15" hidden="1" customHeight="1">
      <c r="A188" s="25" t="s">
        <v>63</v>
      </c>
      <c r="B188" s="25" t="s">
        <v>118</v>
      </c>
      <c r="C188" s="25" t="s">
        <v>43</v>
      </c>
      <c r="D188" s="31" t="s">
        <v>127</v>
      </c>
      <c r="E188" s="25" t="str">
        <f>LEFT(Table1[[#This Row],[TeamID]],FIND("/",Table1[[#This Row],[TeamID]])-1)</f>
        <v>Todd</v>
      </c>
      <c r="F188" s="26">
        <f>Table1[[#This Row],[TC-G1-AS]]+Table1[[#This Row],[TC-G2-AS]]+Table1[[#This Row],[TC-G3-AS]]+Table1[[#This Row],[TC-G4-AS]]+Table1[[#This Row],[TC-G5-AS]]</f>
        <v>3</v>
      </c>
      <c r="G188" s="25">
        <v>2</v>
      </c>
      <c r="H188" s="25">
        <v>1</v>
      </c>
      <c r="L188" s="25" t="str">
        <f>SUBSTITUTE(Table1[[#This Row],[TeamID]],Table1[[#This Row],[Team Captain]]&amp;"/","")</f>
        <v>Neil</v>
      </c>
      <c r="P188" s="25">
        <v>1</v>
      </c>
      <c r="R188" s="26">
        <f>Table1[[#This Row],[P-G1-AS]]+Table1[[#This Row],[P-G2-AS]]+Table1[[#This Row],[P-G3-AS]]+Table1[[#This Row],[P-G4-AS]]+Table1[[#This Row],[P-G5-AS]]</f>
        <v>1</v>
      </c>
      <c r="S188" s="25">
        <v>41.8</v>
      </c>
      <c r="T188" s="25">
        <v>1</v>
      </c>
      <c r="U188" s="25" t="s">
        <v>92</v>
      </c>
      <c r="V188" s="25">
        <v>63</v>
      </c>
      <c r="W188" s="25">
        <v>33.4</v>
      </c>
      <c r="X188" s="25">
        <v>1</v>
      </c>
      <c r="Y188" s="25" t="s">
        <v>92</v>
      </c>
      <c r="Z188" s="25">
        <v>20</v>
      </c>
      <c r="AA188" s="26">
        <f t="shared" si="11"/>
        <v>37.599999999999994</v>
      </c>
      <c r="AB188" s="25">
        <v>1.45</v>
      </c>
      <c r="AC188" s="25">
        <v>1</v>
      </c>
      <c r="AD188" s="25" t="s">
        <v>92</v>
      </c>
      <c r="AE188" s="25">
        <v>1.94</v>
      </c>
      <c r="AF188" s="25">
        <v>1</v>
      </c>
      <c r="AG188" s="25" t="s">
        <v>92</v>
      </c>
      <c r="AH188" s="26">
        <f t="shared" si="12"/>
        <v>1.6949999999999998</v>
      </c>
      <c r="AI188" s="25">
        <v>31.67</v>
      </c>
      <c r="AJ188" s="25" t="s">
        <v>92</v>
      </c>
      <c r="AK188" s="25">
        <v>12</v>
      </c>
      <c r="AN188" s="25">
        <v>0</v>
      </c>
      <c r="AO188" s="26">
        <f t="shared" si="13"/>
        <v>4</v>
      </c>
    </row>
    <row r="189" spans="1:41" ht="15" hidden="1" customHeight="1">
      <c r="A189" s="25" t="s">
        <v>63</v>
      </c>
      <c r="B189" s="25" t="s">
        <v>118</v>
      </c>
      <c r="C189" s="25" t="s">
        <v>45</v>
      </c>
      <c r="D189" s="31" t="s">
        <v>125</v>
      </c>
      <c r="E189" s="25" t="str">
        <f>LEFT(Table1[[#This Row],[TeamID]],FIND("/",Table1[[#This Row],[TeamID]])-1)</f>
        <v>Mike C</v>
      </c>
      <c r="F189" s="26">
        <f>Table1[[#This Row],[TC-G1-AS]]+Table1[[#This Row],[TC-G2-AS]]+Table1[[#This Row],[TC-G3-AS]]+Table1[[#This Row],[TC-G4-AS]]+Table1[[#This Row],[TC-G5-AS]]</f>
        <v>2</v>
      </c>
      <c r="H189" s="25">
        <v>1</v>
      </c>
      <c r="J189" s="25">
        <v>1</v>
      </c>
      <c r="L189" s="25" t="str">
        <f>SUBSTITUTE(Table1[[#This Row],[TeamID]],Table1[[#This Row],[Team Captain]]&amp;"/","")</f>
        <v>Paul</v>
      </c>
      <c r="R189" s="26">
        <f>Table1[[#This Row],[P-G1-AS]]+Table1[[#This Row],[P-G2-AS]]+Table1[[#This Row],[P-G3-AS]]+Table1[[#This Row],[P-G4-AS]]+Table1[[#This Row],[P-G5-AS]]</f>
        <v>0</v>
      </c>
      <c r="S189" s="25">
        <v>39.1</v>
      </c>
      <c r="T189" s="25">
        <v>0</v>
      </c>
      <c r="W189" s="25">
        <v>31.2</v>
      </c>
      <c r="X189" s="25">
        <v>0</v>
      </c>
      <c r="AA189" s="26">
        <f t="shared" si="11"/>
        <v>35.15</v>
      </c>
      <c r="AB189" s="25">
        <v>1.37</v>
      </c>
      <c r="AC189" s="25">
        <v>0</v>
      </c>
      <c r="AE189" s="25">
        <v>1.29</v>
      </c>
      <c r="AF189" s="25">
        <v>0</v>
      </c>
      <c r="AH189" s="26">
        <f t="shared" si="12"/>
        <v>1.33</v>
      </c>
      <c r="AI189" s="25">
        <v>31.14</v>
      </c>
      <c r="AJ189" s="25" t="s">
        <v>84</v>
      </c>
      <c r="AK189" s="25">
        <v>32</v>
      </c>
      <c r="AL189" s="25" t="s">
        <v>94</v>
      </c>
      <c r="AM189" s="25">
        <v>6</v>
      </c>
      <c r="AN189" s="25">
        <v>1</v>
      </c>
      <c r="AO189" s="26">
        <f t="shared" si="13"/>
        <v>1</v>
      </c>
    </row>
    <row r="190" spans="1:41" ht="15" hidden="1" customHeight="1">
      <c r="A190" s="25" t="s">
        <v>64</v>
      </c>
      <c r="B190" s="25" t="s">
        <v>118</v>
      </c>
      <c r="C190" s="25" t="s">
        <v>43</v>
      </c>
      <c r="D190" s="31" t="s">
        <v>128</v>
      </c>
      <c r="E190" s="25" t="str">
        <f>LEFT(Table1[[#This Row],[TeamID]],FIND("/",Table1[[#This Row],[TeamID]])-1)</f>
        <v>Tayven</v>
      </c>
      <c r="F190" s="26">
        <f>Table1[[#This Row],[TC-G1-AS]]+Table1[[#This Row],[TC-G2-AS]]+Table1[[#This Row],[TC-G3-AS]]+Table1[[#This Row],[TC-G4-AS]]+Table1[[#This Row],[TC-G5-AS]]</f>
        <v>0</v>
      </c>
      <c r="L190" s="25" t="str">
        <f>SUBSTITUTE(Table1[[#This Row],[TeamID]],Table1[[#This Row],[Team Captain]]&amp;"/","")</f>
        <v>Mike H</v>
      </c>
      <c r="R190" s="26">
        <f>Table1[[#This Row],[P-G1-AS]]+Table1[[#This Row],[P-G2-AS]]+Table1[[#This Row],[P-G3-AS]]+Table1[[#This Row],[P-G4-AS]]+Table1[[#This Row],[P-G5-AS]]</f>
        <v>0</v>
      </c>
      <c r="S190" s="25">
        <v>35.79</v>
      </c>
      <c r="T190" s="25">
        <v>1</v>
      </c>
      <c r="U190" s="25" t="s">
        <v>91</v>
      </c>
      <c r="V190" s="25">
        <v>49</v>
      </c>
      <c r="W190" s="25">
        <v>41.42</v>
      </c>
      <c r="X190" s="25">
        <v>0</v>
      </c>
      <c r="AA190" s="26">
        <f t="shared" si="11"/>
        <v>38.605000000000004</v>
      </c>
      <c r="AB190" s="25">
        <v>1.25</v>
      </c>
      <c r="AC190" s="25">
        <v>0</v>
      </c>
      <c r="AE190" s="25">
        <v>1.25</v>
      </c>
      <c r="AF190" s="25">
        <v>0</v>
      </c>
      <c r="AH190" s="26">
        <f t="shared" si="12"/>
        <v>1.25</v>
      </c>
      <c r="AI190" s="25">
        <v>23.76</v>
      </c>
      <c r="AJ190" s="25" t="s">
        <v>91</v>
      </c>
      <c r="AK190" s="25">
        <v>20</v>
      </c>
      <c r="AL190" s="25" t="s">
        <v>86</v>
      </c>
      <c r="AM190" s="25">
        <v>12</v>
      </c>
      <c r="AN190" s="25">
        <v>1</v>
      </c>
      <c r="AO190" s="26">
        <f t="shared" si="13"/>
        <v>2</v>
      </c>
    </row>
    <row r="191" spans="1:41" ht="15" hidden="1" customHeight="1">
      <c r="A191" s="25" t="s">
        <v>64</v>
      </c>
      <c r="B191" s="25" t="s">
        <v>118</v>
      </c>
      <c r="C191" s="25" t="s">
        <v>45</v>
      </c>
      <c r="D191" s="31" t="s">
        <v>120</v>
      </c>
      <c r="E191" s="25" t="str">
        <f>LEFT(Table1[[#This Row],[TeamID]],FIND("/",Table1[[#This Row],[TeamID]])-1)</f>
        <v>Mike A</v>
      </c>
      <c r="F191" s="26">
        <f>Table1[[#This Row],[TC-G1-AS]]+Table1[[#This Row],[TC-G2-AS]]+Table1[[#This Row],[TC-G3-AS]]+Table1[[#This Row],[TC-G4-AS]]+Table1[[#This Row],[TC-G5-AS]]</f>
        <v>2</v>
      </c>
      <c r="H191" s="25">
        <v>1</v>
      </c>
      <c r="J191" s="25">
        <v>1</v>
      </c>
      <c r="L191" s="25" t="str">
        <f>SUBSTITUTE(Table1[[#This Row],[TeamID]],Table1[[#This Row],[Team Captain]]&amp;"/","")</f>
        <v>Tristan</v>
      </c>
      <c r="O191" s="25">
        <v>2</v>
      </c>
      <c r="R191" s="26">
        <f>Table1[[#This Row],[P-G1-AS]]+Table1[[#This Row],[P-G2-AS]]+Table1[[#This Row],[P-G3-AS]]+Table1[[#This Row],[P-G4-AS]]+Table1[[#This Row],[P-G5-AS]]</f>
        <v>2</v>
      </c>
      <c r="S191" s="25">
        <v>33.21</v>
      </c>
      <c r="T191" s="25">
        <v>0</v>
      </c>
      <c r="W191" s="25">
        <v>42.94</v>
      </c>
      <c r="X191" s="25">
        <v>1</v>
      </c>
      <c r="Y191" s="25" t="s">
        <v>57</v>
      </c>
      <c r="Z191" s="25">
        <v>32</v>
      </c>
      <c r="AA191" s="26">
        <f t="shared" si="11"/>
        <v>38.075000000000003</v>
      </c>
      <c r="AB191" s="25">
        <v>2.33</v>
      </c>
      <c r="AC191" s="25">
        <v>1</v>
      </c>
      <c r="AD191" s="25" t="s">
        <v>57</v>
      </c>
      <c r="AE191" s="25">
        <v>1.94</v>
      </c>
      <c r="AF191" s="25">
        <v>1</v>
      </c>
      <c r="AG191" s="25" t="s">
        <v>57</v>
      </c>
      <c r="AH191" s="26">
        <f t="shared" si="12"/>
        <v>2.1349999999999998</v>
      </c>
      <c r="AI191" s="25">
        <v>24.75</v>
      </c>
      <c r="AJ191" s="25" t="s">
        <v>121</v>
      </c>
      <c r="AK191" s="25">
        <v>43</v>
      </c>
      <c r="AN191" s="25">
        <v>0</v>
      </c>
      <c r="AO191" s="26">
        <f t="shared" si="13"/>
        <v>3</v>
      </c>
    </row>
    <row r="192" spans="1:41" ht="15" hidden="1" customHeight="1">
      <c r="A192" s="25" t="s">
        <v>65</v>
      </c>
      <c r="B192" s="25" t="s">
        <v>118</v>
      </c>
      <c r="C192" s="25" t="s">
        <v>43</v>
      </c>
      <c r="D192" s="31" t="s">
        <v>124</v>
      </c>
      <c r="E192" s="25" t="str">
        <f>LEFT(Table1[[#This Row],[TeamID]],FIND("/",Table1[[#This Row],[TeamID]])-1)</f>
        <v>Clarence</v>
      </c>
      <c r="F192" s="26">
        <f>Table1[[#This Row],[TC-G1-AS]]+Table1[[#This Row],[TC-G2-AS]]+Table1[[#This Row],[TC-G3-AS]]+Table1[[#This Row],[TC-G4-AS]]+Table1[[#This Row],[TC-G5-AS]]</f>
        <v>0</v>
      </c>
      <c r="L192" s="25" t="str">
        <f>SUBSTITUTE(Table1[[#This Row],[TeamID]],Table1[[#This Row],[Team Captain]]&amp;"/","")</f>
        <v>Tony</v>
      </c>
      <c r="M192" s="25">
        <v>1</v>
      </c>
      <c r="Q192" s="25">
        <v>1</v>
      </c>
      <c r="R192" s="26">
        <f>Table1[[#This Row],[P-G1-AS]]+Table1[[#This Row],[P-G2-AS]]+Table1[[#This Row],[P-G3-AS]]+Table1[[#This Row],[P-G4-AS]]+Table1[[#This Row],[P-G5-AS]]</f>
        <v>2</v>
      </c>
      <c r="S192" s="25">
        <v>53.68</v>
      </c>
      <c r="T192" s="25">
        <v>1</v>
      </c>
      <c r="U192" s="25" t="s">
        <v>87</v>
      </c>
      <c r="V192" s="25">
        <v>26</v>
      </c>
      <c r="W192" s="25">
        <v>32.81</v>
      </c>
      <c r="X192" s="25">
        <v>0</v>
      </c>
      <c r="AA192" s="26">
        <f t="shared" si="11"/>
        <v>43.245000000000005</v>
      </c>
      <c r="AB192" s="25">
        <v>1.33</v>
      </c>
      <c r="AC192" s="25">
        <v>1</v>
      </c>
      <c r="AD192" s="25" t="s">
        <v>101</v>
      </c>
      <c r="AE192" s="25">
        <v>1.17</v>
      </c>
      <c r="AF192" s="25">
        <v>0</v>
      </c>
      <c r="AH192" s="26">
        <f t="shared" si="12"/>
        <v>1.25</v>
      </c>
      <c r="AI192" s="25">
        <v>30.1</v>
      </c>
      <c r="AJ192" s="25" t="s">
        <v>87</v>
      </c>
      <c r="AK192" s="25">
        <v>52</v>
      </c>
      <c r="AL192" s="25" t="s">
        <v>101</v>
      </c>
      <c r="AM192" s="25">
        <v>5</v>
      </c>
      <c r="AN192" s="25">
        <v>1</v>
      </c>
      <c r="AO192" s="26">
        <f t="shared" si="13"/>
        <v>3</v>
      </c>
    </row>
    <row r="193" spans="1:41" ht="15" hidden="1" customHeight="1">
      <c r="A193" s="25" t="s">
        <v>65</v>
      </c>
      <c r="B193" s="25" t="s">
        <v>118</v>
      </c>
      <c r="C193" s="25" t="s">
        <v>45</v>
      </c>
      <c r="D193" s="31" t="s">
        <v>122</v>
      </c>
      <c r="E193" s="25" t="str">
        <f>LEFT(Table1[[#This Row],[TeamID]],FIND("/",Table1[[#This Row],[TeamID]])-1)</f>
        <v>Mark</v>
      </c>
      <c r="F193" s="26">
        <f>Table1[[#This Row],[TC-G1-AS]]+Table1[[#This Row],[TC-G2-AS]]+Table1[[#This Row],[TC-G3-AS]]+Table1[[#This Row],[TC-G4-AS]]+Table1[[#This Row],[TC-G5-AS]]</f>
        <v>0</v>
      </c>
      <c r="L193" s="25" t="str">
        <f>SUBSTITUTE(Table1[[#This Row],[TeamID]],Table1[[#This Row],[Team Captain]]&amp;"/","")</f>
        <v>Jason</v>
      </c>
      <c r="N193" s="25">
        <v>2</v>
      </c>
      <c r="Q193" s="25">
        <v>1</v>
      </c>
      <c r="R193" s="26">
        <f>Table1[[#This Row],[P-G1-AS]]+Table1[[#This Row],[P-G2-AS]]+Table1[[#This Row],[P-G3-AS]]+Table1[[#This Row],[P-G4-AS]]+Table1[[#This Row],[P-G5-AS]]</f>
        <v>3</v>
      </c>
      <c r="S193" s="25">
        <v>34.56</v>
      </c>
      <c r="T193" s="25">
        <v>0</v>
      </c>
      <c r="W193" s="25">
        <v>30.06</v>
      </c>
      <c r="X193" s="25">
        <v>1</v>
      </c>
      <c r="Y193" s="25" t="s">
        <v>102</v>
      </c>
      <c r="Z193" s="25">
        <v>4</v>
      </c>
      <c r="AA193" s="26">
        <f t="shared" si="11"/>
        <v>32.31</v>
      </c>
      <c r="AB193" s="25">
        <v>1</v>
      </c>
      <c r="AC193" s="25">
        <v>0</v>
      </c>
      <c r="AE193" s="25">
        <v>1.33</v>
      </c>
      <c r="AF193" s="25">
        <v>1</v>
      </c>
      <c r="AG193" s="25" t="s">
        <v>102</v>
      </c>
      <c r="AH193" s="26">
        <f t="shared" si="12"/>
        <v>1.165</v>
      </c>
      <c r="AI193" s="25">
        <v>33</v>
      </c>
      <c r="AJ193" s="25" t="s">
        <v>99</v>
      </c>
      <c r="AK193" s="25">
        <v>44</v>
      </c>
      <c r="AN193" s="25">
        <v>0</v>
      </c>
      <c r="AO193" s="26">
        <f t="shared" si="13"/>
        <v>2</v>
      </c>
    </row>
    <row r="194" spans="1:41" ht="15" hidden="1" customHeight="1">
      <c r="A194" s="25" t="s">
        <v>66</v>
      </c>
      <c r="B194" s="25" t="s">
        <v>118</v>
      </c>
      <c r="C194" s="25" t="s">
        <v>43</v>
      </c>
      <c r="D194" s="31" t="s">
        <v>125</v>
      </c>
      <c r="E194" s="25" t="str">
        <f>LEFT(Table1[[#This Row],[TeamID]],FIND("/",Table1[[#This Row],[TeamID]])-1)</f>
        <v>Mike C</v>
      </c>
      <c r="F194" s="26">
        <f>Table1[[#This Row],[TC-G1-AS]]+Table1[[#This Row],[TC-G2-AS]]+Table1[[#This Row],[TC-G3-AS]]+Table1[[#This Row],[TC-G4-AS]]+Table1[[#This Row],[TC-G5-AS]]</f>
        <v>1</v>
      </c>
      <c r="I194" s="25">
        <v>1</v>
      </c>
      <c r="L194" s="25" t="str">
        <f>SUBSTITUTE(Table1[[#This Row],[TeamID]],Table1[[#This Row],[Team Captain]]&amp;"/","")</f>
        <v>Paul</v>
      </c>
      <c r="R194" s="26">
        <f>Table1[[#This Row],[P-G1-AS]]+Table1[[#This Row],[P-G2-AS]]+Table1[[#This Row],[P-G3-AS]]+Table1[[#This Row],[P-G4-AS]]+Table1[[#This Row],[P-G5-AS]]</f>
        <v>0</v>
      </c>
      <c r="S194" s="25">
        <v>39.549999999999997</v>
      </c>
      <c r="T194" s="25">
        <v>1</v>
      </c>
      <c r="U194" s="25" t="s">
        <v>84</v>
      </c>
      <c r="V194" s="25">
        <v>3</v>
      </c>
      <c r="W194" s="25">
        <v>41.7</v>
      </c>
      <c r="X194" s="25">
        <v>0</v>
      </c>
      <c r="AA194" s="26">
        <f t="shared" si="11"/>
        <v>40.625</v>
      </c>
      <c r="AB194" s="25">
        <v>1.61</v>
      </c>
      <c r="AC194" s="25">
        <v>0</v>
      </c>
      <c r="AE194" s="25">
        <v>1.0900000000000001</v>
      </c>
      <c r="AF194" s="25">
        <v>0</v>
      </c>
      <c r="AH194" s="26">
        <f t="shared" si="12"/>
        <v>1.35</v>
      </c>
      <c r="AI194" s="25">
        <v>47.53</v>
      </c>
      <c r="AJ194" s="25" t="s">
        <v>84</v>
      </c>
      <c r="AK194" s="25">
        <v>54</v>
      </c>
      <c r="AL194" s="25" t="s">
        <v>84</v>
      </c>
      <c r="AM194" s="25">
        <v>32</v>
      </c>
      <c r="AN194" s="25">
        <v>1</v>
      </c>
      <c r="AO194" s="26">
        <f t="shared" si="13"/>
        <v>2</v>
      </c>
    </row>
    <row r="195" spans="1:41" ht="15" hidden="1" customHeight="1">
      <c r="A195" s="25" t="s">
        <v>66</v>
      </c>
      <c r="B195" s="25" t="s">
        <v>118</v>
      </c>
      <c r="C195" s="25" t="s">
        <v>45</v>
      </c>
      <c r="D195" s="31" t="s">
        <v>119</v>
      </c>
      <c r="E195" s="25" t="str">
        <f>LEFT(Table1[[#This Row],[TeamID]],FIND("/",Table1[[#This Row],[TeamID]])-1)</f>
        <v>Kevin</v>
      </c>
      <c r="F195" s="26">
        <f>Table1[[#This Row],[TC-G1-AS]]+Table1[[#This Row],[TC-G2-AS]]+Table1[[#This Row],[TC-G3-AS]]+Table1[[#This Row],[TC-G4-AS]]+Table1[[#This Row],[TC-G5-AS]]</f>
        <v>1</v>
      </c>
      <c r="I195" s="25">
        <v>1</v>
      </c>
      <c r="L195" s="25" t="str">
        <f>SUBSTITUTE(Table1[[#This Row],[TeamID]],Table1[[#This Row],[Team Captain]]&amp;"/","")</f>
        <v>Jeremy</v>
      </c>
      <c r="O195" s="25">
        <v>1</v>
      </c>
      <c r="P195" s="25">
        <v>1</v>
      </c>
      <c r="R195" s="26">
        <f>Table1[[#This Row],[P-G1-AS]]+Table1[[#This Row],[P-G2-AS]]+Table1[[#This Row],[P-G3-AS]]+Table1[[#This Row],[P-G4-AS]]+Table1[[#This Row],[P-G5-AS]]</f>
        <v>2</v>
      </c>
      <c r="S195" s="25">
        <v>38.08</v>
      </c>
      <c r="T195" s="25">
        <v>0</v>
      </c>
      <c r="W195" s="25">
        <v>51.83</v>
      </c>
      <c r="X195" s="25">
        <v>1</v>
      </c>
      <c r="Y195" s="25" t="s">
        <v>55</v>
      </c>
      <c r="Z195" s="25">
        <v>20</v>
      </c>
      <c r="AA195" s="26">
        <f t="shared" si="11"/>
        <v>44.954999999999998</v>
      </c>
      <c r="AB195" s="25">
        <v>1.53</v>
      </c>
      <c r="AC195" s="25">
        <v>1</v>
      </c>
      <c r="AD195" s="25" t="s">
        <v>116</v>
      </c>
      <c r="AE195" s="25">
        <v>1.26</v>
      </c>
      <c r="AF195" s="25">
        <v>1</v>
      </c>
      <c r="AG195" s="25" t="s">
        <v>55</v>
      </c>
      <c r="AH195" s="26">
        <f t="shared" si="12"/>
        <v>1.395</v>
      </c>
      <c r="AI195" s="25">
        <v>17.829999999999998</v>
      </c>
      <c r="AJ195" s="25" t="s">
        <v>55</v>
      </c>
      <c r="AK195" s="25">
        <v>20</v>
      </c>
      <c r="AN195" s="25">
        <v>0</v>
      </c>
      <c r="AO195" s="26">
        <f t="shared" si="13"/>
        <v>3</v>
      </c>
    </row>
    <row r="196" spans="1:41" ht="15" hidden="1" customHeight="1">
      <c r="A196" s="25" t="s">
        <v>67</v>
      </c>
      <c r="B196" s="25" t="s">
        <v>118</v>
      </c>
      <c r="C196" s="25" t="s">
        <v>43</v>
      </c>
      <c r="D196" s="31" t="s">
        <v>127</v>
      </c>
      <c r="E196" s="25" t="str">
        <f>LEFT(Table1[[#This Row],[TeamID]],FIND("/",Table1[[#This Row],[TeamID]])-1)</f>
        <v>Todd</v>
      </c>
      <c r="F196" s="26">
        <f>Table1[[#This Row],[TC-G1-AS]]+Table1[[#This Row],[TC-G2-AS]]+Table1[[#This Row],[TC-G3-AS]]+Table1[[#This Row],[TC-G4-AS]]+Table1[[#This Row],[TC-G5-AS]]</f>
        <v>0</v>
      </c>
      <c r="L196" s="25" t="str">
        <f>SUBSTITUTE(Table1[[#This Row],[TeamID]],Table1[[#This Row],[Team Captain]]&amp;"/","")</f>
        <v>Neil</v>
      </c>
      <c r="O196" s="25">
        <v>1</v>
      </c>
      <c r="R196" s="26">
        <f>Table1[[#This Row],[P-G1-AS]]+Table1[[#This Row],[P-G2-AS]]+Table1[[#This Row],[P-G3-AS]]+Table1[[#This Row],[P-G4-AS]]+Table1[[#This Row],[P-G5-AS]]</f>
        <v>1</v>
      </c>
      <c r="S196" s="25">
        <v>26.84</v>
      </c>
      <c r="T196" s="25">
        <v>1</v>
      </c>
      <c r="U196" s="25" t="s">
        <v>92</v>
      </c>
      <c r="V196" s="25">
        <v>20</v>
      </c>
      <c r="W196" s="25">
        <v>45.55</v>
      </c>
      <c r="X196" s="25">
        <v>1</v>
      </c>
      <c r="Y196" s="25" t="s">
        <v>97</v>
      </c>
      <c r="Z196" s="25">
        <v>16</v>
      </c>
      <c r="AA196" s="26">
        <f t="shared" si="11"/>
        <v>36.195</v>
      </c>
      <c r="AB196" s="25">
        <v>0.88</v>
      </c>
      <c r="AC196" s="25">
        <v>0</v>
      </c>
      <c r="AE196" s="25">
        <v>1</v>
      </c>
      <c r="AF196" s="25">
        <v>1</v>
      </c>
      <c r="AG196" s="25" t="s">
        <v>92</v>
      </c>
      <c r="AH196" s="26">
        <f t="shared" si="12"/>
        <v>0.94</v>
      </c>
      <c r="AI196" s="25">
        <v>28.5</v>
      </c>
      <c r="AJ196" s="25" t="s">
        <v>92</v>
      </c>
      <c r="AK196" s="25">
        <v>40</v>
      </c>
      <c r="AN196" s="25">
        <v>0</v>
      </c>
      <c r="AO196" s="26">
        <f t="shared" si="13"/>
        <v>3</v>
      </c>
    </row>
    <row r="197" spans="1:41" ht="15" hidden="1" customHeight="1">
      <c r="A197" s="25" t="s">
        <v>67</v>
      </c>
      <c r="B197" s="25" t="s">
        <v>118</v>
      </c>
      <c r="C197" s="25" t="s">
        <v>45</v>
      </c>
      <c r="D197" s="31" t="s">
        <v>122</v>
      </c>
      <c r="E197" s="25" t="str">
        <f>LEFT(Table1[[#This Row],[TeamID]],FIND("/",Table1[[#This Row],[TeamID]])-1)</f>
        <v>Mark</v>
      </c>
      <c r="F197" s="26">
        <f>Table1[[#This Row],[TC-G1-AS]]+Table1[[#This Row],[TC-G2-AS]]+Table1[[#This Row],[TC-G3-AS]]+Table1[[#This Row],[TC-G4-AS]]+Table1[[#This Row],[TC-G5-AS]]</f>
        <v>0</v>
      </c>
      <c r="L197" s="25" t="str">
        <f>SUBSTITUTE(Table1[[#This Row],[TeamID]],Table1[[#This Row],[Team Captain]]&amp;"/","")</f>
        <v>Jason</v>
      </c>
      <c r="R197" s="26">
        <f>Table1[[#This Row],[P-G1-AS]]+Table1[[#This Row],[P-G2-AS]]+Table1[[#This Row],[P-G3-AS]]+Table1[[#This Row],[P-G4-AS]]+Table1[[#This Row],[P-G5-AS]]</f>
        <v>0</v>
      </c>
      <c r="S197" s="25">
        <v>27.5</v>
      </c>
      <c r="T197" s="25">
        <v>0</v>
      </c>
      <c r="W197" s="25">
        <v>39.450000000000003</v>
      </c>
      <c r="X197" s="25">
        <v>0</v>
      </c>
      <c r="AA197" s="26">
        <f t="shared" si="11"/>
        <v>33.475000000000001</v>
      </c>
      <c r="AB197" s="25">
        <v>1.1200000000000001</v>
      </c>
      <c r="AC197" s="25">
        <v>1</v>
      </c>
      <c r="AD197" s="25" t="s">
        <v>102</v>
      </c>
      <c r="AE197" s="25">
        <v>0.93</v>
      </c>
      <c r="AF197" s="25">
        <v>0</v>
      </c>
      <c r="AH197" s="26">
        <f t="shared" si="12"/>
        <v>1.0250000000000001</v>
      </c>
      <c r="AI197" s="25">
        <v>29.13</v>
      </c>
      <c r="AJ197" s="25" t="s">
        <v>99</v>
      </c>
      <c r="AK197" s="25">
        <v>52</v>
      </c>
      <c r="AL197" s="25" t="s">
        <v>102</v>
      </c>
      <c r="AM197" s="25">
        <v>24</v>
      </c>
      <c r="AN197" s="25">
        <v>1</v>
      </c>
      <c r="AO197" s="26">
        <f t="shared" si="13"/>
        <v>2</v>
      </c>
    </row>
    <row r="198" spans="1:41" ht="15" hidden="1" customHeight="1">
      <c r="A198" s="25" t="s">
        <v>68</v>
      </c>
      <c r="B198" s="25" t="s">
        <v>118</v>
      </c>
      <c r="C198" s="25" t="s">
        <v>43</v>
      </c>
      <c r="D198" s="31" t="s">
        <v>126</v>
      </c>
      <c r="E198" s="25" t="str">
        <f>LEFT(Table1[[#This Row],[TeamID]],FIND("/",Table1[[#This Row],[TeamID]])-1)</f>
        <v>Daniel</v>
      </c>
      <c r="F198" s="26">
        <f>Table1[[#This Row],[TC-G1-AS]]+Table1[[#This Row],[TC-G2-AS]]+Table1[[#This Row],[TC-G3-AS]]+Table1[[#This Row],[TC-G4-AS]]+Table1[[#This Row],[TC-G5-AS]]</f>
        <v>0</v>
      </c>
      <c r="L198" s="25" t="str">
        <f>SUBSTITUTE(Table1[[#This Row],[TeamID]],Table1[[#This Row],[Team Captain]]&amp;"/","")</f>
        <v>Art</v>
      </c>
      <c r="R198" s="26">
        <f>Table1[[#This Row],[P-G1-AS]]+Table1[[#This Row],[P-G2-AS]]+Table1[[#This Row],[P-G3-AS]]+Table1[[#This Row],[P-G4-AS]]+Table1[[#This Row],[P-G5-AS]]</f>
        <v>0</v>
      </c>
      <c r="S198" s="25">
        <v>32.69</v>
      </c>
      <c r="T198" s="25">
        <v>0</v>
      </c>
      <c r="W198" s="25">
        <v>27.83</v>
      </c>
      <c r="X198" s="25">
        <v>1</v>
      </c>
      <c r="Y198" s="25" t="s">
        <v>89</v>
      </c>
      <c r="Z198" s="25">
        <v>37</v>
      </c>
      <c r="AA198" s="26">
        <f t="shared" si="11"/>
        <v>30.259999999999998</v>
      </c>
      <c r="AB198" s="25">
        <v>0.96</v>
      </c>
      <c r="AC198" s="25">
        <v>0</v>
      </c>
      <c r="AE198" s="25">
        <v>0.86</v>
      </c>
      <c r="AF198" s="25">
        <v>0</v>
      </c>
      <c r="AH198" s="26">
        <f t="shared" si="12"/>
        <v>0.90999999999999992</v>
      </c>
      <c r="AI198" s="25">
        <v>15.74</v>
      </c>
      <c r="AJ198" s="25" t="s">
        <v>117</v>
      </c>
      <c r="AK198" s="25">
        <v>35</v>
      </c>
      <c r="AN198" s="25">
        <v>0</v>
      </c>
      <c r="AO198" s="26">
        <f t="shared" si="13"/>
        <v>1</v>
      </c>
    </row>
    <row r="199" spans="1:41" ht="15" hidden="1" customHeight="1">
      <c r="A199" s="25" t="s">
        <v>68</v>
      </c>
      <c r="B199" s="25" t="s">
        <v>118</v>
      </c>
      <c r="C199" s="25" t="s">
        <v>45</v>
      </c>
      <c r="D199" s="31" t="s">
        <v>123</v>
      </c>
      <c r="E199" s="25" t="str">
        <f>LEFT(Table1[[#This Row],[TeamID]],FIND("/",Table1[[#This Row],[TeamID]])-1)</f>
        <v>Brian</v>
      </c>
      <c r="F199" s="26">
        <f>Table1[[#This Row],[TC-G1-AS]]+Table1[[#This Row],[TC-G2-AS]]+Table1[[#This Row],[TC-G3-AS]]+Table1[[#This Row],[TC-G4-AS]]+Table1[[#This Row],[TC-G5-AS]]</f>
        <v>4</v>
      </c>
      <c r="G199" s="25">
        <v>1</v>
      </c>
      <c r="H199" s="25">
        <v>1</v>
      </c>
      <c r="I199" s="25">
        <v>1</v>
      </c>
      <c r="J199" s="25">
        <v>1</v>
      </c>
      <c r="L199" s="25" t="s">
        <v>113</v>
      </c>
      <c r="R199" s="26">
        <f>Table1[[#This Row],[P-G1-AS]]+Table1[[#This Row],[P-G2-AS]]+Table1[[#This Row],[P-G3-AS]]+Table1[[#This Row],[P-G4-AS]]+Table1[[#This Row],[P-G5-AS]]</f>
        <v>0</v>
      </c>
      <c r="S199" s="25">
        <v>39.549999999999997</v>
      </c>
      <c r="T199" s="25">
        <v>1</v>
      </c>
      <c r="U199" s="25" t="s">
        <v>96</v>
      </c>
      <c r="V199" s="25">
        <v>40</v>
      </c>
      <c r="W199" s="25">
        <v>28.79</v>
      </c>
      <c r="X199" s="25">
        <v>0</v>
      </c>
      <c r="AA199" s="26">
        <f t="shared" si="11"/>
        <v>34.17</v>
      </c>
      <c r="AB199" s="25">
        <v>1.21</v>
      </c>
      <c r="AC199" s="25">
        <v>1</v>
      </c>
      <c r="AD199" s="25" t="s">
        <v>96</v>
      </c>
      <c r="AE199" s="25">
        <v>1.29</v>
      </c>
      <c r="AF199" s="25">
        <v>1</v>
      </c>
      <c r="AG199" s="25" t="s">
        <v>96</v>
      </c>
      <c r="AH199" s="26">
        <f t="shared" si="12"/>
        <v>1.25</v>
      </c>
      <c r="AI199" s="25">
        <v>16.420000000000002</v>
      </c>
      <c r="AJ199" s="25" t="s">
        <v>96</v>
      </c>
      <c r="AK199" s="25">
        <v>41</v>
      </c>
      <c r="AL199" s="25" t="s">
        <v>96</v>
      </c>
      <c r="AM199" s="25">
        <v>8</v>
      </c>
      <c r="AN199" s="25">
        <v>1</v>
      </c>
      <c r="AO199" s="26">
        <f t="shared" si="13"/>
        <v>4</v>
      </c>
    </row>
    <row r="200" spans="1:41" ht="15" hidden="1" customHeight="1">
      <c r="A200" s="25" t="s">
        <v>69</v>
      </c>
      <c r="B200" s="25" t="s">
        <v>118</v>
      </c>
      <c r="C200" s="25" t="s">
        <v>43</v>
      </c>
      <c r="D200" s="31" t="s">
        <v>124</v>
      </c>
      <c r="E200" s="25" t="str">
        <f>LEFT(Table1[[#This Row],[TeamID]],FIND("/",Table1[[#This Row],[TeamID]])-1)</f>
        <v>Clarence</v>
      </c>
      <c r="F200" s="26">
        <f>Table1[[#This Row],[TC-G1-AS]]+Table1[[#This Row],[TC-G2-AS]]+Table1[[#This Row],[TC-G3-AS]]+Table1[[#This Row],[TC-G4-AS]]+Table1[[#This Row],[TC-G5-AS]]</f>
        <v>0</v>
      </c>
      <c r="L200" s="25" t="str">
        <f>SUBSTITUTE(Table1[[#This Row],[TeamID]],Table1[[#This Row],[Team Captain]]&amp;"/","")</f>
        <v>Tony</v>
      </c>
      <c r="R200" s="26">
        <f>Table1[[#This Row],[P-G1-AS]]+Table1[[#This Row],[P-G2-AS]]+Table1[[#This Row],[P-G3-AS]]+Table1[[#This Row],[P-G4-AS]]+Table1[[#This Row],[P-G5-AS]]</f>
        <v>0</v>
      </c>
      <c r="S200" s="25">
        <v>38.54</v>
      </c>
      <c r="T200" s="25">
        <v>1</v>
      </c>
      <c r="U200" s="25" t="s">
        <v>87</v>
      </c>
      <c r="V200" s="25">
        <v>40</v>
      </c>
      <c r="W200" s="25">
        <v>20.79</v>
      </c>
      <c r="X200" s="25">
        <v>0</v>
      </c>
      <c r="AA200" s="26">
        <f t="shared" si="11"/>
        <v>29.664999999999999</v>
      </c>
      <c r="AB200" s="25">
        <v>1.25</v>
      </c>
      <c r="AC200" s="25">
        <v>1</v>
      </c>
      <c r="AD200" s="25" t="s">
        <v>87</v>
      </c>
      <c r="AE200" s="25">
        <v>0.95</v>
      </c>
      <c r="AF200" s="25">
        <v>0</v>
      </c>
      <c r="AH200" s="26">
        <f t="shared" si="12"/>
        <v>1.1000000000000001</v>
      </c>
      <c r="AI200" s="25">
        <v>28.22</v>
      </c>
      <c r="AJ200" s="25" t="s">
        <v>87</v>
      </c>
      <c r="AK200" s="25">
        <v>39</v>
      </c>
      <c r="AL200" s="25" t="s">
        <v>87</v>
      </c>
      <c r="AM200" s="25">
        <v>30</v>
      </c>
      <c r="AN200" s="25">
        <v>1</v>
      </c>
      <c r="AO200" s="26">
        <f t="shared" si="13"/>
        <v>3</v>
      </c>
    </row>
    <row r="201" spans="1:41" ht="15" hidden="1" customHeight="1">
      <c r="A201" s="25" t="s">
        <v>69</v>
      </c>
      <c r="B201" s="25" t="s">
        <v>118</v>
      </c>
      <c r="C201" s="25" t="s">
        <v>45</v>
      </c>
      <c r="D201" s="31" t="s">
        <v>128</v>
      </c>
      <c r="E201" s="25" t="str">
        <f>LEFT(Table1[[#This Row],[TeamID]],FIND("/",Table1[[#This Row],[TeamID]])-1)</f>
        <v>Tayven</v>
      </c>
      <c r="F201" s="26">
        <f>Table1[[#This Row],[TC-G1-AS]]+Table1[[#This Row],[TC-G2-AS]]+Table1[[#This Row],[TC-G3-AS]]+Table1[[#This Row],[TC-G4-AS]]+Table1[[#This Row],[TC-G5-AS]]</f>
        <v>0</v>
      </c>
      <c r="L201" s="25" t="str">
        <f>SUBSTITUTE(Table1[[#This Row],[TeamID]],Table1[[#This Row],[Team Captain]]&amp;"/","")</f>
        <v>Mike H</v>
      </c>
      <c r="R201" s="26">
        <f>Table1[[#This Row],[P-G1-AS]]+Table1[[#This Row],[P-G2-AS]]+Table1[[#This Row],[P-G3-AS]]+Table1[[#This Row],[P-G4-AS]]+Table1[[#This Row],[P-G5-AS]]</f>
        <v>0</v>
      </c>
      <c r="S201" s="25">
        <v>40.25</v>
      </c>
      <c r="T201" s="25">
        <v>0</v>
      </c>
      <c r="W201" s="25">
        <v>20.04</v>
      </c>
      <c r="X201" s="25">
        <v>1</v>
      </c>
      <c r="Y201" s="25" t="s">
        <v>91</v>
      </c>
      <c r="Z201" s="25">
        <v>2</v>
      </c>
      <c r="AA201" s="26">
        <f t="shared" si="11"/>
        <v>30.145</v>
      </c>
      <c r="AB201" s="25">
        <v>1.1499999999999999</v>
      </c>
      <c r="AC201" s="25">
        <v>0</v>
      </c>
      <c r="AE201" s="25">
        <v>1.76</v>
      </c>
      <c r="AF201" s="25">
        <v>1</v>
      </c>
      <c r="AG201" s="25" t="s">
        <v>91</v>
      </c>
      <c r="AH201" s="26">
        <f t="shared" si="12"/>
        <v>1.4550000000000001</v>
      </c>
      <c r="AI201" s="25">
        <v>29.5</v>
      </c>
      <c r="AJ201" s="25" t="s">
        <v>91</v>
      </c>
      <c r="AK201" s="25">
        <v>66</v>
      </c>
      <c r="AN201" s="25">
        <v>0</v>
      </c>
      <c r="AO201" s="26">
        <f t="shared" si="13"/>
        <v>2</v>
      </c>
    </row>
    <row r="202" spans="1:41" ht="15" hidden="1" customHeight="1">
      <c r="A202" s="25" t="s">
        <v>70</v>
      </c>
      <c r="B202" s="25" t="s">
        <v>118</v>
      </c>
      <c r="C202" s="25" t="s">
        <v>43</v>
      </c>
      <c r="D202" s="31" t="s">
        <v>123</v>
      </c>
      <c r="E202" s="25" t="str">
        <f>LEFT(Table1[[#This Row],[TeamID]],FIND("/",Table1[[#This Row],[TeamID]])-1)</f>
        <v>Brian</v>
      </c>
      <c r="F202" s="26">
        <f>Table1[[#This Row],[TC-G1-AS]]+Table1[[#This Row],[TC-G2-AS]]+Table1[[#This Row],[TC-G3-AS]]+Table1[[#This Row],[TC-G4-AS]]+Table1[[#This Row],[TC-G5-AS]]</f>
        <v>4</v>
      </c>
      <c r="G202" s="25">
        <v>1</v>
      </c>
      <c r="I202" s="25">
        <v>1</v>
      </c>
      <c r="J202" s="25">
        <v>1</v>
      </c>
      <c r="K202" s="25">
        <v>1</v>
      </c>
      <c r="L202" s="25" t="s">
        <v>113</v>
      </c>
      <c r="R202" s="26">
        <f>Table1[[#This Row],[P-G1-AS]]+Table1[[#This Row],[P-G2-AS]]+Table1[[#This Row],[P-G3-AS]]+Table1[[#This Row],[P-G4-AS]]+Table1[[#This Row],[P-G5-AS]]</f>
        <v>0</v>
      </c>
      <c r="S202" s="25">
        <v>38.31</v>
      </c>
      <c r="T202" s="25">
        <v>0</v>
      </c>
      <c r="W202" s="25">
        <v>28.9</v>
      </c>
      <c r="X202" s="25">
        <v>1</v>
      </c>
      <c r="Y202" s="25" t="s">
        <v>96</v>
      </c>
      <c r="Z202" s="25">
        <v>14</v>
      </c>
      <c r="AA202" s="26">
        <f t="shared" ref="AA202:AA225" si="14">(S202+W202)/2</f>
        <v>33.605000000000004</v>
      </c>
      <c r="AB202" s="25">
        <v>2.21</v>
      </c>
      <c r="AC202" s="25">
        <v>1</v>
      </c>
      <c r="AD202" s="25" t="s">
        <v>96</v>
      </c>
      <c r="AE202" s="25">
        <v>1.39</v>
      </c>
      <c r="AF202" s="25">
        <v>0</v>
      </c>
      <c r="AH202" s="26">
        <f t="shared" ref="AH202:AH225" si="15">(AB202+AE202)/2</f>
        <v>1.7999999999999998</v>
      </c>
      <c r="AI202" s="25">
        <v>50.17</v>
      </c>
      <c r="AJ202" s="25" t="s">
        <v>96</v>
      </c>
      <c r="AK202" s="25">
        <v>10</v>
      </c>
      <c r="AL202" s="25" t="s">
        <v>113</v>
      </c>
      <c r="AM202" s="25">
        <v>60</v>
      </c>
      <c r="AN202" s="25">
        <v>1</v>
      </c>
      <c r="AO202" s="26">
        <f t="shared" ref="AO202:AO233" si="16">T202+AC202+AN202+AF202+X202</f>
        <v>3</v>
      </c>
    </row>
    <row r="203" spans="1:41" ht="15" hidden="1" customHeight="1">
      <c r="A203" s="25" t="s">
        <v>70</v>
      </c>
      <c r="B203" s="25" t="s">
        <v>118</v>
      </c>
      <c r="C203" s="25" t="s">
        <v>45</v>
      </c>
      <c r="D203" s="31" t="s">
        <v>125</v>
      </c>
      <c r="E203" s="25" t="str">
        <f>LEFT(Table1[[#This Row],[TeamID]],FIND("/",Table1[[#This Row],[TeamID]])-1)</f>
        <v>Mike C</v>
      </c>
      <c r="F203" s="26">
        <f>Table1[[#This Row],[TC-G1-AS]]+Table1[[#This Row],[TC-G2-AS]]+Table1[[#This Row],[TC-G3-AS]]+Table1[[#This Row],[TC-G4-AS]]+Table1[[#This Row],[TC-G5-AS]]</f>
        <v>2</v>
      </c>
      <c r="G203" s="25">
        <v>1</v>
      </c>
      <c r="H203" s="25">
        <v>1</v>
      </c>
      <c r="L203" s="25" t="str">
        <f>SUBSTITUTE(Table1[[#This Row],[TeamID]],Table1[[#This Row],[Team Captain]]&amp;"/","")</f>
        <v>Paul</v>
      </c>
      <c r="P203" s="25">
        <v>1</v>
      </c>
      <c r="R203" s="26">
        <f>Table1[[#This Row],[P-G1-AS]]+Table1[[#This Row],[P-G2-AS]]+Table1[[#This Row],[P-G3-AS]]+Table1[[#This Row],[P-G4-AS]]+Table1[[#This Row],[P-G5-AS]]</f>
        <v>1</v>
      </c>
      <c r="S203" s="25">
        <v>38.54</v>
      </c>
      <c r="T203" s="25">
        <v>1</v>
      </c>
      <c r="U203" s="25" t="s">
        <v>84</v>
      </c>
      <c r="V203" s="25">
        <v>16</v>
      </c>
      <c r="W203" s="25">
        <v>27.39</v>
      </c>
      <c r="X203" s="25">
        <v>0</v>
      </c>
      <c r="AA203" s="26">
        <f t="shared" si="14"/>
        <v>32.965000000000003</v>
      </c>
      <c r="AB203" s="25">
        <v>1.21</v>
      </c>
      <c r="AC203" s="25">
        <v>0</v>
      </c>
      <c r="AE203" s="25">
        <v>1.44</v>
      </c>
      <c r="AF203" s="25">
        <v>1</v>
      </c>
      <c r="AG203" s="25" t="s">
        <v>94</v>
      </c>
      <c r="AH203" s="26">
        <f t="shared" si="15"/>
        <v>1.325</v>
      </c>
      <c r="AI203" s="25">
        <v>27.67</v>
      </c>
      <c r="AJ203" s="25" t="s">
        <v>94</v>
      </c>
      <c r="AK203" s="25">
        <v>20</v>
      </c>
      <c r="AN203" s="25">
        <v>0</v>
      </c>
      <c r="AO203" s="26">
        <f t="shared" si="16"/>
        <v>2</v>
      </c>
    </row>
    <row r="204" spans="1:41" ht="15" hidden="1" customHeight="1">
      <c r="A204" s="25" t="s">
        <v>71</v>
      </c>
      <c r="B204" s="25" t="s">
        <v>118</v>
      </c>
      <c r="C204" s="25" t="s">
        <v>43</v>
      </c>
      <c r="D204" s="31" t="s">
        <v>128</v>
      </c>
      <c r="E204" s="25" t="str">
        <f>LEFT(Table1[[#This Row],[TeamID]],FIND("/",Table1[[#This Row],[TeamID]])-1)</f>
        <v>Tayven</v>
      </c>
      <c r="F204" s="26">
        <f>Table1[[#This Row],[TC-G1-AS]]+Table1[[#This Row],[TC-G2-AS]]+Table1[[#This Row],[TC-G3-AS]]+Table1[[#This Row],[TC-G4-AS]]+Table1[[#This Row],[TC-G5-AS]]</f>
        <v>1</v>
      </c>
      <c r="K204" s="25">
        <v>1</v>
      </c>
      <c r="L204" s="25" t="str">
        <f>SUBSTITUTE(Table1[[#This Row],[TeamID]],Table1[[#This Row],[Team Captain]]&amp;"/","")</f>
        <v>Mike H</v>
      </c>
      <c r="O204" s="25">
        <v>1</v>
      </c>
      <c r="R204" s="26">
        <f>Table1[[#This Row],[P-G1-AS]]+Table1[[#This Row],[P-G2-AS]]+Table1[[#This Row],[P-G3-AS]]+Table1[[#This Row],[P-G4-AS]]+Table1[[#This Row],[P-G5-AS]]</f>
        <v>1</v>
      </c>
      <c r="S204" s="25">
        <v>22.77</v>
      </c>
      <c r="T204" s="25">
        <v>1</v>
      </c>
      <c r="U204" s="25" t="s">
        <v>86</v>
      </c>
      <c r="V204" s="25">
        <v>4</v>
      </c>
      <c r="W204" s="25">
        <v>40.619999999999997</v>
      </c>
      <c r="X204" s="25">
        <v>1</v>
      </c>
      <c r="Y204" s="25" t="s">
        <v>91</v>
      </c>
      <c r="Z204" s="25">
        <v>30</v>
      </c>
      <c r="AA204" s="26">
        <f t="shared" si="14"/>
        <v>31.695</v>
      </c>
      <c r="AB204" s="25">
        <v>1.78</v>
      </c>
      <c r="AC204" s="25">
        <v>1</v>
      </c>
      <c r="AD204" s="25" t="s">
        <v>91</v>
      </c>
      <c r="AE204" s="25">
        <v>1.86</v>
      </c>
      <c r="AF204" s="25">
        <v>1</v>
      </c>
      <c r="AG204" s="25" t="s">
        <v>86</v>
      </c>
      <c r="AH204" s="26">
        <f t="shared" si="15"/>
        <v>1.82</v>
      </c>
      <c r="AI204" s="25">
        <v>41.05</v>
      </c>
      <c r="AJ204" s="25" t="s">
        <v>91</v>
      </c>
      <c r="AK204" s="25">
        <v>46</v>
      </c>
      <c r="AL204" s="25" t="s">
        <v>91</v>
      </c>
      <c r="AM204" s="25">
        <v>16</v>
      </c>
      <c r="AN204" s="25">
        <v>1</v>
      </c>
      <c r="AO204" s="26">
        <f t="shared" si="16"/>
        <v>5</v>
      </c>
    </row>
    <row r="205" spans="1:41" ht="15" hidden="1" customHeight="1">
      <c r="A205" s="25" t="s">
        <v>71</v>
      </c>
      <c r="B205" s="25" t="s">
        <v>118</v>
      </c>
      <c r="C205" s="25" t="s">
        <v>45</v>
      </c>
      <c r="D205" s="31" t="s">
        <v>126</v>
      </c>
      <c r="E205" s="25" t="str">
        <f>LEFT(Table1[[#This Row],[TeamID]],FIND("/",Table1[[#This Row],[TeamID]])-1)</f>
        <v>Daniel</v>
      </c>
      <c r="F205" s="26">
        <f>Table1[[#This Row],[TC-G1-AS]]+Table1[[#This Row],[TC-G2-AS]]+Table1[[#This Row],[TC-G3-AS]]+Table1[[#This Row],[TC-G4-AS]]+Table1[[#This Row],[TC-G5-AS]]</f>
        <v>1</v>
      </c>
      <c r="I205" s="25">
        <v>1</v>
      </c>
      <c r="L205" s="25" t="str">
        <f>SUBSTITUTE(Table1[[#This Row],[TeamID]],Table1[[#This Row],[Team Captain]]&amp;"/","")</f>
        <v>Art</v>
      </c>
      <c r="R205" s="26">
        <f>Table1[[#This Row],[P-G1-AS]]+Table1[[#This Row],[P-G2-AS]]+Table1[[#This Row],[P-G3-AS]]+Table1[[#This Row],[P-G4-AS]]+Table1[[#This Row],[P-G5-AS]]</f>
        <v>0</v>
      </c>
      <c r="S205" s="25">
        <v>21.95</v>
      </c>
      <c r="T205" s="25">
        <v>0</v>
      </c>
      <c r="W205" s="25">
        <v>36.92</v>
      </c>
      <c r="X205" s="25">
        <v>0</v>
      </c>
      <c r="AA205" s="26">
        <f t="shared" si="14"/>
        <v>29.435000000000002</v>
      </c>
      <c r="AB205" s="25">
        <v>1.65</v>
      </c>
      <c r="AC205" s="25">
        <v>0</v>
      </c>
      <c r="AE205" s="25">
        <v>1.21</v>
      </c>
      <c r="AF205" s="25">
        <v>0</v>
      </c>
      <c r="AH205" s="26">
        <f t="shared" si="15"/>
        <v>1.43</v>
      </c>
      <c r="AI205" s="25">
        <v>33.119999999999997</v>
      </c>
      <c r="AJ205" s="25" t="s">
        <v>89</v>
      </c>
      <c r="AK205" s="25">
        <v>60</v>
      </c>
      <c r="AN205" s="25">
        <v>0</v>
      </c>
      <c r="AO205" s="26">
        <f t="shared" si="16"/>
        <v>0</v>
      </c>
    </row>
    <row r="206" spans="1:41" ht="15" hidden="1" customHeight="1">
      <c r="A206" s="25" t="s">
        <v>72</v>
      </c>
      <c r="B206" s="25" t="s">
        <v>118</v>
      </c>
      <c r="C206" s="25" t="s">
        <v>43</v>
      </c>
      <c r="D206" s="31" t="s">
        <v>124</v>
      </c>
      <c r="E206" s="25" t="str">
        <f>LEFT(Table1[[#This Row],[TeamID]],FIND("/",Table1[[#This Row],[TeamID]])-1)</f>
        <v>Clarence</v>
      </c>
      <c r="F206" s="26">
        <f>Table1[[#This Row],[TC-G1-AS]]+Table1[[#This Row],[TC-G2-AS]]+Table1[[#This Row],[TC-G3-AS]]+Table1[[#This Row],[TC-G4-AS]]+Table1[[#This Row],[TC-G5-AS]]</f>
        <v>1</v>
      </c>
      <c r="G206" s="25">
        <v>1</v>
      </c>
      <c r="L206" s="25" t="str">
        <f>SUBSTITUTE(Table1[[#This Row],[TeamID]],Table1[[#This Row],[Team Captain]]&amp;"/","")</f>
        <v>Tony</v>
      </c>
      <c r="R206" s="26">
        <f>Table1[[#This Row],[P-G1-AS]]+Table1[[#This Row],[P-G2-AS]]+Table1[[#This Row],[P-G3-AS]]+Table1[[#This Row],[P-G4-AS]]+Table1[[#This Row],[P-G5-AS]]</f>
        <v>0</v>
      </c>
      <c r="S206" s="25">
        <v>32.700000000000003</v>
      </c>
      <c r="T206" s="25">
        <v>1</v>
      </c>
      <c r="U206" s="25" t="s">
        <v>87</v>
      </c>
      <c r="V206" s="25">
        <v>4</v>
      </c>
      <c r="W206" s="25">
        <v>22.4</v>
      </c>
      <c r="X206" s="25">
        <v>1</v>
      </c>
      <c r="Y206" s="25" t="s">
        <v>87</v>
      </c>
      <c r="Z206" s="25">
        <v>4</v>
      </c>
      <c r="AA206" s="26">
        <f t="shared" si="14"/>
        <v>27.55</v>
      </c>
      <c r="AB206" s="25">
        <v>1.7</v>
      </c>
      <c r="AC206" s="25">
        <v>1</v>
      </c>
      <c r="AD206" s="25" t="s">
        <v>101</v>
      </c>
      <c r="AE206" s="25">
        <v>1.3</v>
      </c>
      <c r="AF206" s="25">
        <v>0</v>
      </c>
      <c r="AH206" s="26">
        <f t="shared" si="15"/>
        <v>1.5</v>
      </c>
      <c r="AI206" s="25">
        <v>24.1</v>
      </c>
      <c r="AJ206" s="25" t="s">
        <v>87</v>
      </c>
      <c r="AK206" s="25">
        <v>51</v>
      </c>
      <c r="AN206" s="25">
        <v>0</v>
      </c>
      <c r="AO206" s="26">
        <f t="shared" si="16"/>
        <v>3</v>
      </c>
    </row>
    <row r="207" spans="1:41" ht="15" hidden="1" customHeight="1">
      <c r="A207" s="25" t="s">
        <v>72</v>
      </c>
      <c r="B207" s="25" t="s">
        <v>118</v>
      </c>
      <c r="C207" s="25" t="s">
        <v>45</v>
      </c>
      <c r="D207" s="31" t="s">
        <v>127</v>
      </c>
      <c r="E207" s="25" t="str">
        <f>LEFT(Table1[[#This Row],[TeamID]],FIND("/",Table1[[#This Row],[TeamID]])-1)</f>
        <v>Todd</v>
      </c>
      <c r="F207" s="26">
        <f>Table1[[#This Row],[TC-G1-AS]]+Table1[[#This Row],[TC-G2-AS]]+Table1[[#This Row],[TC-G3-AS]]+Table1[[#This Row],[TC-G4-AS]]+Table1[[#This Row],[TC-G5-AS]]</f>
        <v>0</v>
      </c>
      <c r="L207" s="25" t="str">
        <f>SUBSTITUTE(Table1[[#This Row],[TeamID]],Table1[[#This Row],[Team Captain]]&amp;"/","")</f>
        <v>Neil</v>
      </c>
      <c r="R207" s="26">
        <f>Table1[[#This Row],[P-G1-AS]]+Table1[[#This Row],[P-G2-AS]]+Table1[[#This Row],[P-G3-AS]]+Table1[[#This Row],[P-G4-AS]]+Table1[[#This Row],[P-G5-AS]]</f>
        <v>0</v>
      </c>
      <c r="S207" s="25">
        <v>33.1</v>
      </c>
      <c r="T207" s="25">
        <v>0</v>
      </c>
      <c r="W207" s="25">
        <v>21.6</v>
      </c>
      <c r="X207" s="25">
        <v>0</v>
      </c>
      <c r="AA207" s="26">
        <f t="shared" si="14"/>
        <v>27.35</v>
      </c>
      <c r="AB207" s="25">
        <v>1.4</v>
      </c>
      <c r="AC207" s="25">
        <v>0</v>
      </c>
      <c r="AE207" s="25">
        <v>1.4</v>
      </c>
      <c r="AF207" s="25">
        <v>1</v>
      </c>
      <c r="AG207" s="25" t="s">
        <v>97</v>
      </c>
      <c r="AH207" s="26">
        <f t="shared" si="15"/>
        <v>1.4</v>
      </c>
      <c r="AI207" s="25">
        <v>31.1</v>
      </c>
      <c r="AJ207" s="25" t="s">
        <v>92</v>
      </c>
      <c r="AK207" s="25">
        <v>10</v>
      </c>
      <c r="AL207" s="25" t="s">
        <v>97</v>
      </c>
      <c r="AM207" s="25">
        <v>7</v>
      </c>
      <c r="AN207" s="25">
        <v>1</v>
      </c>
      <c r="AO207" s="26">
        <f t="shared" si="16"/>
        <v>2</v>
      </c>
    </row>
    <row r="208" spans="1:41" ht="15" hidden="1" customHeight="1">
      <c r="A208" s="25" t="s">
        <v>73</v>
      </c>
      <c r="B208" s="25" t="s">
        <v>118</v>
      </c>
      <c r="C208" s="25" t="s">
        <v>43</v>
      </c>
      <c r="D208" s="31" t="s">
        <v>120</v>
      </c>
      <c r="E208" s="25" t="str">
        <f>LEFT(Table1[[#This Row],[TeamID]],FIND("/",Table1[[#This Row],[TeamID]])-1)</f>
        <v>Mike A</v>
      </c>
      <c r="F208" s="26">
        <f>Table1[[#This Row],[TC-G1-AS]]+Table1[[#This Row],[TC-G2-AS]]+Table1[[#This Row],[TC-G3-AS]]+Table1[[#This Row],[TC-G4-AS]]+Table1[[#This Row],[TC-G5-AS]]</f>
        <v>0</v>
      </c>
      <c r="L208" s="25" t="str">
        <f>SUBSTITUTE(Table1[[#This Row],[TeamID]],Table1[[#This Row],[Team Captain]]&amp;"/","")</f>
        <v>Tristan</v>
      </c>
      <c r="P208" s="25">
        <v>2</v>
      </c>
      <c r="Q208" s="25">
        <v>1</v>
      </c>
      <c r="R208" s="26">
        <f>Table1[[#This Row],[P-G1-AS]]+Table1[[#This Row],[P-G2-AS]]+Table1[[#This Row],[P-G3-AS]]+Table1[[#This Row],[P-G4-AS]]+Table1[[#This Row],[P-G5-AS]]</f>
        <v>3</v>
      </c>
      <c r="S208" s="25">
        <v>55.67</v>
      </c>
      <c r="T208" s="25">
        <v>1</v>
      </c>
      <c r="U208" s="25" t="s">
        <v>57</v>
      </c>
      <c r="V208" s="25">
        <v>47</v>
      </c>
      <c r="W208" s="25">
        <v>23.48</v>
      </c>
      <c r="X208" s="25">
        <v>1</v>
      </c>
      <c r="Y208" s="25" t="s">
        <v>57</v>
      </c>
      <c r="Z208" s="25">
        <v>4</v>
      </c>
      <c r="AA208" s="26">
        <f t="shared" si="14"/>
        <v>39.575000000000003</v>
      </c>
      <c r="AB208" s="25">
        <v>1.54</v>
      </c>
      <c r="AC208" s="25">
        <v>0</v>
      </c>
      <c r="AE208" s="25">
        <v>1.88</v>
      </c>
      <c r="AF208" s="25">
        <v>1</v>
      </c>
      <c r="AG208" s="25" t="s">
        <v>121</v>
      </c>
      <c r="AH208" s="26">
        <f t="shared" si="15"/>
        <v>1.71</v>
      </c>
      <c r="AI208" s="25">
        <v>36.119999999999997</v>
      </c>
      <c r="AJ208" s="25" t="s">
        <v>121</v>
      </c>
      <c r="AK208" s="25">
        <v>42</v>
      </c>
      <c r="AL208" s="25" t="s">
        <v>57</v>
      </c>
      <c r="AM208" s="25">
        <v>8</v>
      </c>
      <c r="AN208" s="25">
        <v>1</v>
      </c>
      <c r="AO208" s="26">
        <f t="shared" si="16"/>
        <v>4</v>
      </c>
    </row>
    <row r="209" spans="1:41" ht="15" hidden="1" customHeight="1">
      <c r="A209" s="25" t="s">
        <v>73</v>
      </c>
      <c r="B209" s="25" t="s">
        <v>118</v>
      </c>
      <c r="C209" s="25" t="s">
        <v>45</v>
      </c>
      <c r="D209" s="31" t="s">
        <v>122</v>
      </c>
      <c r="E209" s="25" t="str">
        <f>LEFT(Table1[[#This Row],[TeamID]],FIND("/",Table1[[#This Row],[TeamID]])-1)</f>
        <v>Mark</v>
      </c>
      <c r="F209" s="26">
        <f>Table1[[#This Row],[TC-G1-AS]]+Table1[[#This Row],[TC-G2-AS]]+Table1[[#This Row],[TC-G3-AS]]+Table1[[#This Row],[TC-G4-AS]]+Table1[[#This Row],[TC-G5-AS]]</f>
        <v>0</v>
      </c>
      <c r="L209" s="25" t="str">
        <f>SUBSTITUTE(Table1[[#This Row],[TeamID]],Table1[[#This Row],[Team Captain]]&amp;"/","")</f>
        <v>Jason</v>
      </c>
      <c r="O209" s="25">
        <v>1</v>
      </c>
      <c r="R209" s="26">
        <f>Table1[[#This Row],[P-G1-AS]]+Table1[[#This Row],[P-G2-AS]]+Table1[[#This Row],[P-G3-AS]]+Table1[[#This Row],[P-G4-AS]]+Table1[[#This Row],[P-G5-AS]]</f>
        <v>1</v>
      </c>
      <c r="S209" s="25">
        <v>36.549999999999997</v>
      </c>
      <c r="T209" s="25">
        <v>0</v>
      </c>
      <c r="W209" s="25">
        <v>22.59</v>
      </c>
      <c r="X209" s="25">
        <v>0</v>
      </c>
      <c r="AA209" s="26">
        <f t="shared" si="14"/>
        <v>29.57</v>
      </c>
      <c r="AB209" s="25">
        <v>2.31</v>
      </c>
      <c r="AC209" s="25">
        <v>1</v>
      </c>
      <c r="AD209" s="25" t="s">
        <v>102</v>
      </c>
      <c r="AE209" s="25">
        <v>1</v>
      </c>
      <c r="AF209" s="25">
        <v>0</v>
      </c>
      <c r="AH209" s="26">
        <f t="shared" si="15"/>
        <v>1.655</v>
      </c>
      <c r="AI209" s="25">
        <v>21.89</v>
      </c>
      <c r="AJ209" s="25" t="s">
        <v>102</v>
      </c>
      <c r="AK209" s="25">
        <v>20</v>
      </c>
      <c r="AN209" s="25">
        <v>0</v>
      </c>
      <c r="AO209" s="26">
        <f t="shared" si="16"/>
        <v>1</v>
      </c>
    </row>
    <row r="210" spans="1:41" ht="15" hidden="1" customHeight="1">
      <c r="A210" s="25" t="s">
        <v>74</v>
      </c>
      <c r="B210" s="25" t="s">
        <v>118</v>
      </c>
      <c r="C210" s="25" t="s">
        <v>43</v>
      </c>
      <c r="D210" s="31" t="s">
        <v>127</v>
      </c>
      <c r="E210" s="25" t="str">
        <f>LEFT(Table1[[#This Row],[TeamID]],FIND("/",Table1[[#This Row],[TeamID]])-1)</f>
        <v>Todd</v>
      </c>
      <c r="F210" s="26">
        <f>Table1[[#This Row],[TC-G1-AS]]+Table1[[#This Row],[TC-G2-AS]]+Table1[[#This Row],[TC-G3-AS]]+Table1[[#This Row],[TC-G4-AS]]+Table1[[#This Row],[TC-G5-AS]]</f>
        <v>3</v>
      </c>
      <c r="I210" s="25">
        <v>1</v>
      </c>
      <c r="J210" s="25">
        <v>1</v>
      </c>
      <c r="K210" s="25">
        <v>1</v>
      </c>
      <c r="L210" s="25" t="str">
        <f>SUBSTITUTE(Table1[[#This Row],[TeamID]],Table1[[#This Row],[Team Captain]]&amp;"/","")</f>
        <v>Neil</v>
      </c>
      <c r="M210" s="25">
        <v>2</v>
      </c>
      <c r="O210" s="25">
        <v>1</v>
      </c>
      <c r="R210" s="26">
        <f>Table1[[#This Row],[P-G1-AS]]+Table1[[#This Row],[P-G2-AS]]+Table1[[#This Row],[P-G3-AS]]+Table1[[#This Row],[P-G4-AS]]+Table1[[#This Row],[P-G5-AS]]</f>
        <v>3</v>
      </c>
      <c r="S210" s="25">
        <v>60.12</v>
      </c>
      <c r="T210" s="25">
        <v>1</v>
      </c>
      <c r="U210" s="25" t="s">
        <v>92</v>
      </c>
      <c r="V210" s="25">
        <v>40</v>
      </c>
      <c r="W210" s="25">
        <v>33.82</v>
      </c>
      <c r="X210" s="25">
        <v>0</v>
      </c>
      <c r="AA210" s="26">
        <f t="shared" si="14"/>
        <v>46.97</v>
      </c>
      <c r="AB210" s="25">
        <v>1.55</v>
      </c>
      <c r="AC210" s="25">
        <v>0</v>
      </c>
      <c r="AE210" s="25">
        <v>1.48</v>
      </c>
      <c r="AF210" s="25">
        <v>1</v>
      </c>
      <c r="AG210" s="25" t="s">
        <v>92</v>
      </c>
      <c r="AH210" s="26">
        <f t="shared" si="15"/>
        <v>1.5150000000000001</v>
      </c>
      <c r="AI210" s="25">
        <v>30.1</v>
      </c>
      <c r="AJ210" s="25" t="s">
        <v>92</v>
      </c>
      <c r="AK210" s="25">
        <v>63</v>
      </c>
      <c r="AL210" s="25" t="s">
        <v>97</v>
      </c>
      <c r="AM210" s="25">
        <v>5</v>
      </c>
      <c r="AN210" s="25">
        <v>1</v>
      </c>
      <c r="AO210" s="26">
        <f t="shared" si="16"/>
        <v>3</v>
      </c>
    </row>
    <row r="211" spans="1:41" ht="15" hidden="1" customHeight="1">
      <c r="A211" s="25" t="s">
        <v>74</v>
      </c>
      <c r="B211" s="25" t="s">
        <v>118</v>
      </c>
      <c r="C211" s="25" t="s">
        <v>45</v>
      </c>
      <c r="D211" s="31" t="s">
        <v>119</v>
      </c>
      <c r="E211" s="25" t="str">
        <f>LEFT(Table1[[#This Row],[TeamID]],FIND("/",Table1[[#This Row],[TeamID]])-1)</f>
        <v>Kevin</v>
      </c>
      <c r="F211" s="26">
        <f>Table1[[#This Row],[TC-G1-AS]]+Table1[[#This Row],[TC-G2-AS]]+Table1[[#This Row],[TC-G3-AS]]+Table1[[#This Row],[TC-G4-AS]]+Table1[[#This Row],[TC-G5-AS]]</f>
        <v>2</v>
      </c>
      <c r="I211" s="25">
        <v>1</v>
      </c>
      <c r="J211" s="25">
        <v>1</v>
      </c>
      <c r="L211" s="25" t="str">
        <f>SUBSTITUTE(Table1[[#This Row],[TeamID]],Table1[[#This Row],[Team Captain]]&amp;"/","")</f>
        <v>Jeremy</v>
      </c>
      <c r="M211" s="25">
        <v>2</v>
      </c>
      <c r="O211" s="25">
        <v>1</v>
      </c>
      <c r="R211" s="26">
        <f>Table1[[#This Row],[P-G1-AS]]+Table1[[#This Row],[P-G2-AS]]+Table1[[#This Row],[P-G3-AS]]+Table1[[#This Row],[P-G4-AS]]+Table1[[#This Row],[P-G5-AS]]</f>
        <v>3</v>
      </c>
      <c r="S211" s="25">
        <v>52.75</v>
      </c>
      <c r="T211" s="25">
        <v>0</v>
      </c>
      <c r="W211" s="25">
        <v>41.75</v>
      </c>
      <c r="X211" s="25">
        <v>1</v>
      </c>
      <c r="Y211" s="25" t="s">
        <v>55</v>
      </c>
      <c r="Z211" s="25">
        <v>56</v>
      </c>
      <c r="AA211" s="26">
        <f t="shared" si="14"/>
        <v>47.25</v>
      </c>
      <c r="AB211" s="25">
        <v>1.52</v>
      </c>
      <c r="AC211" s="25">
        <v>1</v>
      </c>
      <c r="AD211" s="25" t="s">
        <v>116</v>
      </c>
      <c r="AE211" s="25">
        <v>1.21</v>
      </c>
      <c r="AF211" s="25">
        <v>0</v>
      </c>
      <c r="AH211" s="26">
        <f t="shared" si="15"/>
        <v>1.365</v>
      </c>
      <c r="AI211" s="25">
        <v>29.9</v>
      </c>
      <c r="AJ211" s="25" t="s">
        <v>55</v>
      </c>
      <c r="AK211" s="25">
        <v>41</v>
      </c>
      <c r="AN211" s="25">
        <v>0</v>
      </c>
      <c r="AO211" s="26">
        <f t="shared" si="16"/>
        <v>2</v>
      </c>
    </row>
    <row r="212" spans="1:41" ht="15" hidden="1" customHeight="1">
      <c r="A212" s="25" t="s">
        <v>75</v>
      </c>
      <c r="B212" s="25" t="s">
        <v>118</v>
      </c>
      <c r="C212" s="25" t="s">
        <v>43</v>
      </c>
      <c r="D212" s="31" t="s">
        <v>125</v>
      </c>
      <c r="E212" s="25" t="str">
        <f>LEFT(Table1[[#This Row],[TeamID]],FIND("/",Table1[[#This Row],[TeamID]])-1)</f>
        <v>Mike C</v>
      </c>
      <c r="F212" s="26">
        <f>Table1[[#This Row],[TC-G1-AS]]+Table1[[#This Row],[TC-G2-AS]]+Table1[[#This Row],[TC-G3-AS]]+Table1[[#This Row],[TC-G4-AS]]+Table1[[#This Row],[TC-G5-AS]]</f>
        <v>3</v>
      </c>
      <c r="G212" s="25">
        <v>1</v>
      </c>
      <c r="I212" s="25">
        <v>1</v>
      </c>
      <c r="J212" s="25">
        <v>1</v>
      </c>
      <c r="L212" s="25" t="str">
        <f>SUBSTITUTE(Table1[[#This Row],[TeamID]],Table1[[#This Row],[Team Captain]]&amp;"/","")</f>
        <v>Paul</v>
      </c>
      <c r="M212" s="25">
        <v>1</v>
      </c>
      <c r="P212" s="25">
        <v>1</v>
      </c>
      <c r="R212" s="26">
        <f>Table1[[#This Row],[P-G1-AS]]+Table1[[#This Row],[P-G2-AS]]+Table1[[#This Row],[P-G3-AS]]+Table1[[#This Row],[P-G4-AS]]+Table1[[#This Row],[P-G5-AS]]</f>
        <v>2</v>
      </c>
      <c r="S212" s="25">
        <v>51.83</v>
      </c>
      <c r="T212" s="25">
        <v>1</v>
      </c>
      <c r="U212" s="25" t="s">
        <v>94</v>
      </c>
      <c r="V212" s="25">
        <v>16</v>
      </c>
      <c r="W212" s="25">
        <v>41.25</v>
      </c>
      <c r="X212" s="25">
        <v>1</v>
      </c>
      <c r="Y212" s="25" t="s">
        <v>84</v>
      </c>
      <c r="Z212" s="25">
        <v>55</v>
      </c>
      <c r="AA212" s="26">
        <f t="shared" si="14"/>
        <v>46.54</v>
      </c>
      <c r="AB212" s="25">
        <v>1.32</v>
      </c>
      <c r="AC212" s="25">
        <v>1</v>
      </c>
      <c r="AD212" s="25" t="s">
        <v>84</v>
      </c>
      <c r="AE212" s="25">
        <v>1.48</v>
      </c>
      <c r="AF212" s="25">
        <v>1</v>
      </c>
      <c r="AG212" s="25" t="s">
        <v>84</v>
      </c>
      <c r="AH212" s="26">
        <f t="shared" si="15"/>
        <v>1.4</v>
      </c>
      <c r="AI212" s="25">
        <v>20.079999999999998</v>
      </c>
      <c r="AJ212" s="25" t="s">
        <v>94</v>
      </c>
      <c r="AK212" s="25">
        <v>35</v>
      </c>
      <c r="AN212" s="25">
        <v>0</v>
      </c>
      <c r="AO212" s="26">
        <f t="shared" si="16"/>
        <v>4</v>
      </c>
    </row>
    <row r="213" spans="1:41" ht="15" hidden="1" customHeight="1">
      <c r="A213" s="25" t="s">
        <v>75</v>
      </c>
      <c r="B213" s="25" t="s">
        <v>118</v>
      </c>
      <c r="C213" s="25" t="s">
        <v>45</v>
      </c>
      <c r="D213" s="31" t="s">
        <v>126</v>
      </c>
      <c r="E213" s="25" t="str">
        <f>LEFT(Table1[[#This Row],[TeamID]],FIND("/",Table1[[#This Row],[TeamID]])-1)</f>
        <v>Daniel</v>
      </c>
      <c r="F213" s="26">
        <f>Table1[[#This Row],[TC-G1-AS]]+Table1[[#This Row],[TC-G2-AS]]+Table1[[#This Row],[TC-G3-AS]]+Table1[[#This Row],[TC-G4-AS]]+Table1[[#This Row],[TC-G5-AS]]</f>
        <v>1</v>
      </c>
      <c r="J213" s="25">
        <v>1</v>
      </c>
      <c r="L213" s="25" t="str">
        <f>SUBSTITUTE(Table1[[#This Row],[TeamID]],Table1[[#This Row],[Team Captain]]&amp;"/","")</f>
        <v>Art</v>
      </c>
      <c r="R213" s="26">
        <f>Table1[[#This Row],[P-G1-AS]]+Table1[[#This Row],[P-G2-AS]]+Table1[[#This Row],[P-G3-AS]]+Table1[[#This Row],[P-G4-AS]]+Table1[[#This Row],[P-G5-AS]]</f>
        <v>0</v>
      </c>
      <c r="S213" s="25">
        <v>46.2</v>
      </c>
      <c r="T213" s="25">
        <v>0</v>
      </c>
      <c r="W213" s="25">
        <v>39.090000000000003</v>
      </c>
      <c r="X213" s="25">
        <v>0</v>
      </c>
      <c r="AA213" s="26">
        <f t="shared" si="14"/>
        <v>42.645000000000003</v>
      </c>
      <c r="AB213" s="25">
        <v>1.18</v>
      </c>
      <c r="AC213" s="25">
        <v>0</v>
      </c>
      <c r="AE213" s="25">
        <v>1.55</v>
      </c>
      <c r="AF213" s="25">
        <v>0</v>
      </c>
      <c r="AH213" s="26">
        <f t="shared" si="15"/>
        <v>1.365</v>
      </c>
      <c r="AI213" s="25">
        <v>21.5</v>
      </c>
      <c r="AJ213" s="25" t="s">
        <v>89</v>
      </c>
      <c r="AK213" s="25">
        <v>40</v>
      </c>
      <c r="AL213" s="25" t="s">
        <v>117</v>
      </c>
      <c r="AM213" s="25">
        <v>8</v>
      </c>
      <c r="AN213" s="25">
        <v>1</v>
      </c>
      <c r="AO213" s="26">
        <f t="shared" si="16"/>
        <v>1</v>
      </c>
    </row>
    <row r="214" spans="1:41" ht="15" hidden="1" customHeight="1">
      <c r="A214" s="25" t="s">
        <v>76</v>
      </c>
      <c r="B214" s="25" t="s">
        <v>118</v>
      </c>
      <c r="C214" s="25" t="s">
        <v>43</v>
      </c>
      <c r="D214" s="31" t="s">
        <v>122</v>
      </c>
      <c r="E214" s="25" t="str">
        <f>LEFT(Table1[[#This Row],[TeamID]],FIND("/",Table1[[#This Row],[TeamID]])-1)</f>
        <v>Mark</v>
      </c>
      <c r="F214" s="26">
        <f>Table1[[#This Row],[TC-G1-AS]]+Table1[[#This Row],[TC-G2-AS]]+Table1[[#This Row],[TC-G3-AS]]+Table1[[#This Row],[TC-G4-AS]]+Table1[[#This Row],[TC-G5-AS]]</f>
        <v>1</v>
      </c>
      <c r="H214" s="25">
        <v>1</v>
      </c>
      <c r="L214" s="25" t="str">
        <f>SUBSTITUTE(Table1[[#This Row],[TeamID]],Table1[[#This Row],[Team Captain]]&amp;"/","")</f>
        <v>Jason</v>
      </c>
      <c r="N214" s="25">
        <v>1</v>
      </c>
      <c r="R214" s="26">
        <f>Table1[[#This Row],[P-G1-AS]]+Table1[[#This Row],[P-G2-AS]]+Table1[[#This Row],[P-G3-AS]]+Table1[[#This Row],[P-G4-AS]]+Table1[[#This Row],[P-G5-AS]]</f>
        <v>1</v>
      </c>
      <c r="S214" s="25">
        <v>37.57</v>
      </c>
      <c r="T214" s="25">
        <v>1</v>
      </c>
      <c r="U214" s="25" t="s">
        <v>99</v>
      </c>
      <c r="V214" s="25">
        <v>18</v>
      </c>
      <c r="W214" s="25">
        <v>24.95</v>
      </c>
      <c r="X214" s="25">
        <v>0</v>
      </c>
      <c r="AA214" s="26">
        <f t="shared" si="14"/>
        <v>31.259999999999998</v>
      </c>
      <c r="AB214" s="25">
        <v>1.42</v>
      </c>
      <c r="AC214" s="25">
        <v>1</v>
      </c>
      <c r="AD214" s="25" t="s">
        <v>102</v>
      </c>
      <c r="AE214" s="25">
        <v>1</v>
      </c>
      <c r="AH214" s="26">
        <f t="shared" si="15"/>
        <v>1.21</v>
      </c>
      <c r="AI214" s="25">
        <v>33.44</v>
      </c>
      <c r="AJ214" s="25" t="s">
        <v>102</v>
      </c>
      <c r="AK214" s="25">
        <v>22</v>
      </c>
      <c r="AL214" s="25" t="s">
        <v>102</v>
      </c>
      <c r="AM214" s="25">
        <v>39</v>
      </c>
      <c r="AN214" s="25">
        <v>1</v>
      </c>
      <c r="AO214" s="26">
        <f t="shared" si="16"/>
        <v>3</v>
      </c>
    </row>
    <row r="215" spans="1:41" ht="15" hidden="1" customHeight="1">
      <c r="A215" s="25" t="s">
        <v>76</v>
      </c>
      <c r="B215" s="25" t="s">
        <v>118</v>
      </c>
      <c r="C215" s="25" t="s">
        <v>45</v>
      </c>
      <c r="D215" s="31" t="s">
        <v>128</v>
      </c>
      <c r="E215" s="25" t="str">
        <f>LEFT(Table1[[#This Row],[TeamID]],FIND("/",Table1[[#This Row],[TeamID]])-1)</f>
        <v>Tayven</v>
      </c>
      <c r="F215" s="26">
        <f>Table1[[#This Row],[TC-G1-AS]]+Table1[[#This Row],[TC-G2-AS]]+Table1[[#This Row],[TC-G3-AS]]+Table1[[#This Row],[TC-G4-AS]]+Table1[[#This Row],[TC-G5-AS]]</f>
        <v>2</v>
      </c>
      <c r="I215" s="25">
        <v>1</v>
      </c>
      <c r="J215" s="25">
        <v>1</v>
      </c>
      <c r="L215" s="25" t="str">
        <f>SUBSTITUTE(Table1[[#This Row],[TeamID]],Table1[[#This Row],[Team Captain]]&amp;"/","")</f>
        <v>Mike H</v>
      </c>
      <c r="M215" s="25">
        <v>1</v>
      </c>
      <c r="N215" s="25">
        <v>1</v>
      </c>
      <c r="R215" s="26">
        <f>Table1[[#This Row],[P-G1-AS]]+Table1[[#This Row],[P-G2-AS]]+Table1[[#This Row],[P-G3-AS]]+Table1[[#This Row],[P-G4-AS]]+Table1[[#This Row],[P-G5-AS]]</f>
        <v>2</v>
      </c>
      <c r="S215" s="25">
        <v>35.5</v>
      </c>
      <c r="T215" s="25">
        <v>0</v>
      </c>
      <c r="W215" s="25">
        <v>25.9</v>
      </c>
      <c r="X215" s="25">
        <v>1</v>
      </c>
      <c r="Y215" s="25" t="s">
        <v>91</v>
      </c>
      <c r="Z215" s="25">
        <v>4</v>
      </c>
      <c r="AA215" s="26">
        <f t="shared" si="14"/>
        <v>30.7</v>
      </c>
      <c r="AB215" s="25">
        <v>1.22</v>
      </c>
      <c r="AC215" s="25">
        <v>0</v>
      </c>
      <c r="AE215" s="25">
        <v>1.41</v>
      </c>
      <c r="AF215" s="25">
        <v>1</v>
      </c>
      <c r="AG215" s="25" t="s">
        <v>86</v>
      </c>
      <c r="AH215" s="26">
        <f t="shared" si="15"/>
        <v>1.3149999999999999</v>
      </c>
      <c r="AI215" s="25">
        <v>29.56</v>
      </c>
      <c r="AJ215" s="25" t="s">
        <v>91</v>
      </c>
      <c r="AK215" s="25">
        <v>20</v>
      </c>
      <c r="AN215" s="25">
        <v>0</v>
      </c>
      <c r="AO215" s="26">
        <f t="shared" si="16"/>
        <v>2</v>
      </c>
    </row>
    <row r="216" spans="1:41" ht="15" hidden="1" customHeight="1">
      <c r="A216" s="25" t="s">
        <v>77</v>
      </c>
      <c r="B216" s="25" t="s">
        <v>118</v>
      </c>
      <c r="C216" s="25" t="s">
        <v>43</v>
      </c>
      <c r="D216" s="31" t="s">
        <v>120</v>
      </c>
      <c r="E216" s="25" t="str">
        <f>LEFT(Table1[[#This Row],[TeamID]],FIND("/",Table1[[#This Row],[TeamID]])-1)</f>
        <v>Mike A</v>
      </c>
      <c r="F216" s="26">
        <f>Table1[[#This Row],[TC-G1-AS]]+Table1[[#This Row],[TC-G2-AS]]+Table1[[#This Row],[TC-G3-AS]]+Table1[[#This Row],[TC-G4-AS]]+Table1[[#This Row],[TC-G5-AS]]</f>
        <v>4</v>
      </c>
      <c r="G216" s="25">
        <v>1</v>
      </c>
      <c r="J216" s="25">
        <v>1</v>
      </c>
      <c r="K216" s="25">
        <v>2</v>
      </c>
      <c r="L216" s="25" t="str">
        <f>SUBSTITUTE(Table1[[#This Row],[TeamID]],Table1[[#This Row],[Team Captain]]&amp;"/","")</f>
        <v>Tristan</v>
      </c>
      <c r="R216" s="26">
        <f>Table1[[#This Row],[P-G1-AS]]+Table1[[#This Row],[P-G2-AS]]+Table1[[#This Row],[P-G3-AS]]+Table1[[#This Row],[P-G4-AS]]+Table1[[#This Row],[P-G5-AS]]</f>
        <v>0</v>
      </c>
      <c r="S216" s="25">
        <v>39.549999999999997</v>
      </c>
      <c r="T216" s="25">
        <v>1</v>
      </c>
      <c r="U216" s="25" t="s">
        <v>57</v>
      </c>
      <c r="V216" s="25">
        <v>42</v>
      </c>
      <c r="W216" s="25">
        <v>44.7</v>
      </c>
      <c r="X216" s="25">
        <v>0</v>
      </c>
      <c r="AA216" s="26">
        <f t="shared" si="14"/>
        <v>42.125</v>
      </c>
      <c r="AB216" s="25">
        <v>1.27</v>
      </c>
      <c r="AC216" s="25">
        <v>0</v>
      </c>
      <c r="AE216" s="25">
        <v>1.76</v>
      </c>
      <c r="AF216" s="25">
        <v>1</v>
      </c>
      <c r="AG216" s="25" t="s">
        <v>57</v>
      </c>
      <c r="AH216" s="26">
        <f t="shared" si="15"/>
        <v>1.5150000000000001</v>
      </c>
      <c r="AI216" s="25">
        <v>33.44</v>
      </c>
      <c r="AJ216" s="25" t="s">
        <v>57</v>
      </c>
      <c r="AK216" s="25">
        <v>101</v>
      </c>
      <c r="AL216" s="25" t="s">
        <v>57</v>
      </c>
      <c r="AM216" s="25">
        <v>2</v>
      </c>
      <c r="AN216" s="25">
        <v>1</v>
      </c>
      <c r="AO216" s="26">
        <f t="shared" si="16"/>
        <v>3</v>
      </c>
    </row>
    <row r="217" spans="1:41" ht="15" hidden="1" customHeight="1">
      <c r="A217" s="25" t="s">
        <v>77</v>
      </c>
      <c r="B217" s="25" t="s">
        <v>118</v>
      </c>
      <c r="C217" s="25" t="s">
        <v>45</v>
      </c>
      <c r="D217" s="31" t="s">
        <v>123</v>
      </c>
      <c r="E217" s="25" t="str">
        <f>LEFT(Table1[[#This Row],[TeamID]],FIND("/",Table1[[#This Row],[TeamID]])-1)</f>
        <v>Brian</v>
      </c>
      <c r="F217" s="26">
        <f>Table1[[#This Row],[TC-G1-AS]]+Table1[[#This Row],[TC-G2-AS]]+Table1[[#This Row],[TC-G3-AS]]+Table1[[#This Row],[TC-G4-AS]]+Table1[[#This Row],[TC-G5-AS]]</f>
        <v>2</v>
      </c>
      <c r="I217" s="25">
        <v>1</v>
      </c>
      <c r="J217" s="25">
        <v>1</v>
      </c>
      <c r="L217" s="25" t="s">
        <v>129</v>
      </c>
      <c r="O217" s="25">
        <v>1</v>
      </c>
      <c r="R217" s="26">
        <f>Table1[[#This Row],[P-G1-AS]]+Table1[[#This Row],[P-G2-AS]]+Table1[[#This Row],[P-G3-AS]]+Table1[[#This Row],[P-G4-AS]]+Table1[[#This Row],[P-G5-AS]]</f>
        <v>1</v>
      </c>
      <c r="S217" s="25">
        <v>39.31</v>
      </c>
      <c r="T217" s="25">
        <v>0</v>
      </c>
      <c r="W217" s="25">
        <v>55.68</v>
      </c>
      <c r="X217" s="25">
        <v>1</v>
      </c>
      <c r="Y217" s="25" t="s">
        <v>96</v>
      </c>
      <c r="Z217" s="25">
        <v>32</v>
      </c>
      <c r="AA217" s="26">
        <f t="shared" si="14"/>
        <v>47.495000000000005</v>
      </c>
      <c r="AB217" s="25">
        <v>2.33</v>
      </c>
      <c r="AC217" s="25">
        <v>1</v>
      </c>
      <c r="AD217" s="25" t="s">
        <v>96</v>
      </c>
      <c r="AE217" s="25">
        <v>1.81</v>
      </c>
      <c r="AF217" s="25">
        <v>0</v>
      </c>
      <c r="AH217" s="26">
        <f t="shared" si="15"/>
        <v>2.0700000000000003</v>
      </c>
      <c r="AI217" s="25">
        <v>35.75</v>
      </c>
      <c r="AJ217" s="25" t="s">
        <v>96</v>
      </c>
      <c r="AK217" s="25">
        <v>56</v>
      </c>
      <c r="AN217" s="25">
        <v>0</v>
      </c>
      <c r="AO217" s="26">
        <f t="shared" si="16"/>
        <v>2</v>
      </c>
    </row>
    <row r="218" spans="1:41" ht="15" hidden="1" customHeight="1">
      <c r="A218" s="25" t="s">
        <v>78</v>
      </c>
      <c r="B218" s="25" t="s">
        <v>118</v>
      </c>
      <c r="C218" s="25" t="s">
        <v>43</v>
      </c>
      <c r="D218" s="31" t="s">
        <v>123</v>
      </c>
      <c r="E218" s="25" t="str">
        <f>LEFT(Table1[[#This Row],[TeamID]],FIND("/",Table1[[#This Row],[TeamID]])-1)</f>
        <v>Brian</v>
      </c>
      <c r="F218" s="26">
        <f>Table1[[#This Row],[TC-G1-AS]]+Table1[[#This Row],[TC-G2-AS]]+Table1[[#This Row],[TC-G3-AS]]+Table1[[#This Row],[TC-G4-AS]]+Table1[[#This Row],[TC-G5-AS]]</f>
        <v>3</v>
      </c>
      <c r="G218" s="25">
        <v>2</v>
      </c>
      <c r="H218" s="25">
        <v>1</v>
      </c>
      <c r="L218" s="25" t="s">
        <v>129</v>
      </c>
      <c r="R218" s="26">
        <f>Table1[[#This Row],[P-G1-AS]]+Table1[[#This Row],[P-G2-AS]]+Table1[[#This Row],[P-G3-AS]]+Table1[[#This Row],[P-G4-AS]]+Table1[[#This Row],[P-G5-AS]]</f>
        <v>0</v>
      </c>
      <c r="S218" s="25">
        <v>46.97</v>
      </c>
      <c r="T218" s="25">
        <v>1</v>
      </c>
      <c r="U218" s="25" t="s">
        <v>96</v>
      </c>
      <c r="V218" s="25">
        <v>40</v>
      </c>
      <c r="W218" s="25">
        <v>42.94</v>
      </c>
      <c r="X218" s="25">
        <v>1</v>
      </c>
      <c r="Y218" s="25" t="s">
        <v>129</v>
      </c>
      <c r="Z218" s="25">
        <v>4</v>
      </c>
      <c r="AA218" s="26">
        <f t="shared" si="14"/>
        <v>44.954999999999998</v>
      </c>
      <c r="AB218" s="25">
        <v>1.26</v>
      </c>
      <c r="AC218" s="25">
        <v>0</v>
      </c>
      <c r="AE218" s="25">
        <v>1</v>
      </c>
      <c r="AF218" s="25">
        <v>0</v>
      </c>
      <c r="AH218" s="26">
        <f t="shared" si="15"/>
        <v>1.1299999999999999</v>
      </c>
      <c r="AI218" s="25">
        <v>38</v>
      </c>
      <c r="AJ218" s="25" t="s">
        <v>96</v>
      </c>
      <c r="AK218" s="25">
        <v>54</v>
      </c>
      <c r="AN218" s="25">
        <v>0</v>
      </c>
      <c r="AO218" s="26">
        <f t="shared" si="16"/>
        <v>2</v>
      </c>
    </row>
    <row r="219" spans="1:41" ht="15" hidden="1" customHeight="1">
      <c r="A219" s="25" t="s">
        <v>78</v>
      </c>
      <c r="B219" s="25" t="s">
        <v>118</v>
      </c>
      <c r="C219" s="25" t="s">
        <v>45</v>
      </c>
      <c r="D219" s="31" t="s">
        <v>124</v>
      </c>
      <c r="E219" s="25" t="str">
        <f>LEFT(Table1[[#This Row],[TeamID]],FIND("/",Table1[[#This Row],[TeamID]])-1)</f>
        <v>Clarence</v>
      </c>
      <c r="F219" s="26">
        <f>Table1[[#This Row],[TC-G1-AS]]+Table1[[#This Row],[TC-G2-AS]]+Table1[[#This Row],[TC-G3-AS]]+Table1[[#This Row],[TC-G4-AS]]+Table1[[#This Row],[TC-G5-AS]]</f>
        <v>3</v>
      </c>
      <c r="G219" s="25">
        <v>2</v>
      </c>
      <c r="I219" s="25">
        <v>1</v>
      </c>
      <c r="L219" s="25" t="str">
        <f>SUBSTITUTE(Table1[[#This Row],[TeamID]],Table1[[#This Row],[Team Captain]]&amp;"/","")</f>
        <v>Tony</v>
      </c>
      <c r="R219" s="26">
        <f>Table1[[#This Row],[P-G1-AS]]+Table1[[#This Row],[P-G2-AS]]+Table1[[#This Row],[P-G3-AS]]+Table1[[#This Row],[P-G4-AS]]+Table1[[#This Row],[P-G5-AS]]</f>
        <v>0</v>
      </c>
      <c r="S219" s="25">
        <v>41.3</v>
      </c>
      <c r="T219" s="25">
        <v>0</v>
      </c>
      <c r="W219" s="25">
        <v>38.31</v>
      </c>
      <c r="X219" s="25">
        <v>0</v>
      </c>
      <c r="AA219" s="26">
        <f t="shared" si="14"/>
        <v>39.805</v>
      </c>
      <c r="AB219" s="25">
        <v>1.5</v>
      </c>
      <c r="AC219" s="25">
        <v>1</v>
      </c>
      <c r="AD219" s="25" t="s">
        <v>87</v>
      </c>
      <c r="AE219" s="25">
        <v>1.56</v>
      </c>
      <c r="AF219" s="25">
        <v>1</v>
      </c>
      <c r="AG219" s="25" t="s">
        <v>87</v>
      </c>
      <c r="AH219" s="26">
        <f t="shared" si="15"/>
        <v>1.53</v>
      </c>
      <c r="AI219" s="25">
        <v>43</v>
      </c>
      <c r="AJ219" s="25" t="s">
        <v>87</v>
      </c>
      <c r="AK219" s="25">
        <v>89</v>
      </c>
      <c r="AL219" s="25" t="s">
        <v>87</v>
      </c>
      <c r="AM219" s="25">
        <v>36</v>
      </c>
      <c r="AN219" s="25">
        <v>1</v>
      </c>
      <c r="AO219" s="26">
        <f t="shared" si="16"/>
        <v>3</v>
      </c>
    </row>
    <row r="220" spans="1:41" ht="15" hidden="1" customHeight="1">
      <c r="A220" s="25" t="s">
        <v>79</v>
      </c>
      <c r="B220" s="25" t="s">
        <v>118</v>
      </c>
      <c r="C220" s="25" t="s">
        <v>43</v>
      </c>
      <c r="D220" s="31" t="s">
        <v>128</v>
      </c>
      <c r="E220" s="25" t="str">
        <f>LEFT(Table1[[#This Row],[TeamID]],FIND("/",Table1[[#This Row],[TeamID]])-1)</f>
        <v>Tayven</v>
      </c>
      <c r="F220" s="26">
        <f>Table1[[#This Row],[TC-G1-AS]]+Table1[[#This Row],[TC-G2-AS]]+Table1[[#This Row],[TC-G3-AS]]+Table1[[#This Row],[TC-G4-AS]]+Table1[[#This Row],[TC-G5-AS]]</f>
        <v>0</v>
      </c>
      <c r="L220" s="25" t="str">
        <f>SUBSTITUTE(Table1[[#This Row],[TeamID]],Table1[[#This Row],[Team Captain]]&amp;"/","")</f>
        <v>Mike H</v>
      </c>
      <c r="R220" s="26">
        <f>Table1[[#This Row],[P-G1-AS]]+Table1[[#This Row],[P-G2-AS]]+Table1[[#This Row],[P-G3-AS]]+Table1[[#This Row],[P-G4-AS]]+Table1[[#This Row],[P-G5-AS]]</f>
        <v>0</v>
      </c>
      <c r="S220" s="25">
        <v>32.409999999999997</v>
      </c>
      <c r="T220" s="25">
        <v>0</v>
      </c>
      <c r="W220" s="25">
        <v>21.7</v>
      </c>
      <c r="X220" s="25">
        <v>0</v>
      </c>
      <c r="AA220" s="26">
        <f t="shared" si="14"/>
        <v>27.055</v>
      </c>
      <c r="AB220" s="25">
        <v>1.42</v>
      </c>
      <c r="AC220" s="25">
        <v>1</v>
      </c>
      <c r="AD220" s="25" t="s">
        <v>86</v>
      </c>
      <c r="AE220" s="25">
        <v>1.45</v>
      </c>
      <c r="AF220" s="25">
        <v>0</v>
      </c>
      <c r="AH220" s="26">
        <f t="shared" si="15"/>
        <v>1.4350000000000001</v>
      </c>
      <c r="AI220" s="25">
        <v>29.89</v>
      </c>
      <c r="AJ220" s="25" t="s">
        <v>86</v>
      </c>
      <c r="AK220" s="25">
        <v>81</v>
      </c>
      <c r="AN220" s="25">
        <v>0</v>
      </c>
      <c r="AO220" s="26">
        <f t="shared" si="16"/>
        <v>1</v>
      </c>
    </row>
    <row r="221" spans="1:41" ht="15" hidden="1" customHeight="1">
      <c r="A221" s="25" t="s">
        <v>79</v>
      </c>
      <c r="B221" s="25" t="s">
        <v>118</v>
      </c>
      <c r="C221" s="25" t="s">
        <v>45</v>
      </c>
      <c r="D221" s="31" t="s">
        <v>127</v>
      </c>
      <c r="E221" s="25" t="str">
        <f>LEFT(Table1[[#This Row],[TeamID]],FIND("/",Table1[[#This Row],[TeamID]])-1)</f>
        <v>Todd</v>
      </c>
      <c r="F221" s="26">
        <f>Table1[[#This Row],[TC-G1-AS]]+Table1[[#This Row],[TC-G2-AS]]+Table1[[#This Row],[TC-G3-AS]]+Table1[[#This Row],[TC-G4-AS]]+Table1[[#This Row],[TC-G5-AS]]</f>
        <v>1</v>
      </c>
      <c r="J221" s="25">
        <v>1</v>
      </c>
      <c r="L221" s="25" t="str">
        <f>SUBSTITUTE(Table1[[#This Row],[TeamID]],Table1[[#This Row],[Team Captain]]&amp;"/","")</f>
        <v>Neil</v>
      </c>
      <c r="P221" s="25">
        <v>1</v>
      </c>
      <c r="R221" s="26">
        <f>Table1[[#This Row],[P-G1-AS]]+Table1[[#This Row],[P-G2-AS]]+Table1[[#This Row],[P-G3-AS]]+Table1[[#This Row],[P-G4-AS]]+Table1[[#This Row],[P-G5-AS]]</f>
        <v>1</v>
      </c>
      <c r="S221" s="25">
        <v>31.31</v>
      </c>
      <c r="T221" s="25">
        <v>1</v>
      </c>
      <c r="U221" s="25" t="s">
        <v>92</v>
      </c>
      <c r="V221" s="25">
        <v>8</v>
      </c>
      <c r="W221" s="25">
        <v>20.88</v>
      </c>
      <c r="X221" s="25">
        <v>1</v>
      </c>
      <c r="Y221" s="25" t="s">
        <v>92</v>
      </c>
      <c r="Z221" s="25">
        <v>5</v>
      </c>
      <c r="AA221" s="26">
        <f t="shared" si="14"/>
        <v>26.094999999999999</v>
      </c>
      <c r="AB221" s="25">
        <v>1.28</v>
      </c>
      <c r="AC221" s="25">
        <v>0</v>
      </c>
      <c r="AE221" s="25">
        <v>2.17</v>
      </c>
      <c r="AF221" s="25">
        <v>1</v>
      </c>
      <c r="AG221" s="25" t="s">
        <v>97</v>
      </c>
      <c r="AH221" s="26">
        <f t="shared" si="15"/>
        <v>1.7250000000000001</v>
      </c>
      <c r="AI221" s="25">
        <v>36.119999999999997</v>
      </c>
      <c r="AJ221" s="25" t="s">
        <v>97</v>
      </c>
      <c r="AK221" s="25">
        <v>26</v>
      </c>
      <c r="AL221" s="25" t="s">
        <v>92</v>
      </c>
      <c r="AM221" s="25">
        <v>8</v>
      </c>
      <c r="AN221" s="25">
        <v>1</v>
      </c>
      <c r="AO221" s="26">
        <f t="shared" si="16"/>
        <v>4</v>
      </c>
    </row>
    <row r="222" spans="1:41" ht="15" hidden="1" customHeight="1">
      <c r="A222" s="25" t="s">
        <v>80</v>
      </c>
      <c r="B222" s="25" t="s">
        <v>118</v>
      </c>
      <c r="C222" s="25" t="s">
        <v>43</v>
      </c>
      <c r="D222" s="31" t="s">
        <v>120</v>
      </c>
      <c r="E222" s="25" t="str">
        <f>LEFT(Table1[[#This Row],[TeamID]],FIND("/",Table1[[#This Row],[TeamID]])-1)</f>
        <v>Mike A</v>
      </c>
      <c r="F222" s="26">
        <f>Table1[[#This Row],[TC-G1-AS]]+Table1[[#This Row],[TC-G2-AS]]+Table1[[#This Row],[TC-G3-AS]]+Table1[[#This Row],[TC-G4-AS]]+Table1[[#This Row],[TC-G5-AS]]</f>
        <v>0</v>
      </c>
      <c r="L222" s="25" t="str">
        <f>SUBSTITUTE(Table1[[#This Row],[TeamID]],Table1[[#This Row],[Team Captain]]&amp;"/","")</f>
        <v>Tristan</v>
      </c>
      <c r="R222" s="26">
        <f>Table1[[#This Row],[P-G1-AS]]+Table1[[#This Row],[P-G2-AS]]+Table1[[#This Row],[P-G3-AS]]+Table1[[#This Row],[P-G4-AS]]+Table1[[#This Row],[P-G5-AS]]</f>
        <v>0</v>
      </c>
      <c r="S222" s="25">
        <v>26.26</v>
      </c>
      <c r="T222" s="25">
        <v>0</v>
      </c>
      <c r="W222" s="25">
        <v>22.68</v>
      </c>
      <c r="X222" s="25">
        <v>0</v>
      </c>
      <c r="AA222" s="26">
        <f t="shared" si="14"/>
        <v>24.47</v>
      </c>
      <c r="AB222" s="25">
        <v>1.27</v>
      </c>
      <c r="AC222" s="25">
        <v>0</v>
      </c>
      <c r="AE222" s="25">
        <v>1.07</v>
      </c>
      <c r="AF222" s="25">
        <v>0</v>
      </c>
      <c r="AH222" s="26">
        <f t="shared" si="15"/>
        <v>1.17</v>
      </c>
      <c r="AI222" s="25">
        <v>24.25</v>
      </c>
      <c r="AJ222" s="25" t="s">
        <v>121</v>
      </c>
      <c r="AK222" s="25">
        <v>22</v>
      </c>
      <c r="AN222" s="25">
        <v>0</v>
      </c>
      <c r="AO222" s="26">
        <f t="shared" si="16"/>
        <v>0</v>
      </c>
    </row>
    <row r="223" spans="1:41" ht="15" hidden="1" customHeight="1">
      <c r="A223" s="25" t="s">
        <v>80</v>
      </c>
      <c r="B223" s="25" t="s">
        <v>118</v>
      </c>
      <c r="C223" s="25" t="s">
        <v>45</v>
      </c>
      <c r="D223" s="31" t="s">
        <v>125</v>
      </c>
      <c r="E223" s="25" t="str">
        <f>LEFT(Table1[[#This Row],[TeamID]],FIND("/",Table1[[#This Row],[TeamID]])-1)</f>
        <v>Mike C</v>
      </c>
      <c r="F223" s="26">
        <f>Table1[[#This Row],[TC-G1-AS]]+Table1[[#This Row],[TC-G2-AS]]+Table1[[#This Row],[TC-G3-AS]]+Table1[[#This Row],[TC-G4-AS]]+Table1[[#This Row],[TC-G5-AS]]</f>
        <v>3</v>
      </c>
      <c r="I223" s="25">
        <v>1</v>
      </c>
      <c r="J223" s="25">
        <v>2</v>
      </c>
      <c r="L223" s="25" t="str">
        <f>SUBSTITUTE(Table1[[#This Row],[TeamID]],Table1[[#This Row],[Team Captain]]&amp;"/","")</f>
        <v>Paul</v>
      </c>
      <c r="M223" s="25">
        <v>1</v>
      </c>
      <c r="O223" s="25">
        <v>1</v>
      </c>
      <c r="P223" s="25">
        <v>1</v>
      </c>
      <c r="R223" s="26">
        <f>Table1[[#This Row],[P-G1-AS]]+Table1[[#This Row],[P-G2-AS]]+Table1[[#This Row],[P-G3-AS]]+Table1[[#This Row],[P-G4-AS]]+Table1[[#This Row],[P-G5-AS]]</f>
        <v>3</v>
      </c>
      <c r="S223" s="25">
        <v>26.84</v>
      </c>
      <c r="T223" s="25">
        <v>1</v>
      </c>
      <c r="U223" s="25" t="s">
        <v>84</v>
      </c>
      <c r="V223" s="25">
        <v>8</v>
      </c>
      <c r="W223" s="25">
        <v>21.78</v>
      </c>
      <c r="X223" s="25">
        <v>1</v>
      </c>
      <c r="Y223" s="25" t="s">
        <v>94</v>
      </c>
      <c r="Z223" s="25">
        <v>8</v>
      </c>
      <c r="AA223" s="26">
        <f t="shared" si="14"/>
        <v>24.310000000000002</v>
      </c>
      <c r="AB223" s="25">
        <v>1.75</v>
      </c>
      <c r="AC223" s="25">
        <v>1</v>
      </c>
      <c r="AD223" s="25" t="s">
        <v>84</v>
      </c>
      <c r="AE223" s="25">
        <v>1.3</v>
      </c>
      <c r="AF223" s="25">
        <v>1</v>
      </c>
      <c r="AG223" s="25" t="s">
        <v>84</v>
      </c>
      <c r="AH223" s="26">
        <f t="shared" si="15"/>
        <v>1.5249999999999999</v>
      </c>
      <c r="AI223" s="25">
        <v>25.08</v>
      </c>
      <c r="AJ223" s="25" t="s">
        <v>94</v>
      </c>
      <c r="AK223" s="25">
        <v>41</v>
      </c>
      <c r="AL223" s="25" t="s">
        <v>94</v>
      </c>
      <c r="AM223" s="25">
        <v>5</v>
      </c>
      <c r="AN223" s="25">
        <v>1</v>
      </c>
      <c r="AO223" s="26">
        <f t="shared" si="16"/>
        <v>5</v>
      </c>
    </row>
    <row r="224" spans="1:41" ht="15" hidden="1" customHeight="1">
      <c r="A224" s="25" t="s">
        <v>81</v>
      </c>
      <c r="B224" s="25" t="s">
        <v>118</v>
      </c>
      <c r="C224" s="25" t="s">
        <v>43</v>
      </c>
      <c r="D224" s="31" t="s">
        <v>119</v>
      </c>
      <c r="E224" s="25" t="str">
        <f>LEFT(Table1[[#This Row],[TeamID]],FIND("/",Table1[[#This Row],[TeamID]])-1)</f>
        <v>Kevin</v>
      </c>
      <c r="F224" s="26">
        <f>Table1[[#This Row],[TC-G1-AS]]+Table1[[#This Row],[TC-G2-AS]]+Table1[[#This Row],[TC-G3-AS]]+Table1[[#This Row],[TC-G4-AS]]+Table1[[#This Row],[TC-G5-AS]]</f>
        <v>1</v>
      </c>
      <c r="G224" s="25">
        <v>1</v>
      </c>
      <c r="L224" s="25" t="str">
        <f>SUBSTITUTE(Table1[[#This Row],[TeamID]],Table1[[#This Row],[Team Captain]]&amp;"/","")</f>
        <v>Jeremy</v>
      </c>
      <c r="R224" s="26">
        <f>Table1[[#This Row],[P-G1-AS]]+Table1[[#This Row],[P-G2-AS]]+Table1[[#This Row],[P-G3-AS]]+Table1[[#This Row],[P-G4-AS]]+Table1[[#This Row],[P-G5-AS]]</f>
        <v>0</v>
      </c>
      <c r="S224" s="25">
        <v>44.09</v>
      </c>
      <c r="T224" s="25">
        <v>0</v>
      </c>
      <c r="W224" s="25">
        <v>36.659999999999997</v>
      </c>
      <c r="X224" s="25">
        <v>1</v>
      </c>
      <c r="Y224" s="25" t="s">
        <v>55</v>
      </c>
      <c r="Z224" s="25">
        <v>32</v>
      </c>
      <c r="AA224" s="26">
        <f t="shared" si="14"/>
        <v>40.375</v>
      </c>
      <c r="AB224" s="25">
        <v>1.5</v>
      </c>
      <c r="AC224" s="25">
        <v>1</v>
      </c>
      <c r="AD224" s="25" t="s">
        <v>55</v>
      </c>
      <c r="AE224" s="25">
        <v>1.53</v>
      </c>
      <c r="AF224" s="25">
        <v>1</v>
      </c>
      <c r="AG224" s="25" t="s">
        <v>55</v>
      </c>
      <c r="AH224" s="26">
        <f t="shared" si="15"/>
        <v>1.5150000000000001</v>
      </c>
      <c r="AI224" s="25">
        <v>22.54</v>
      </c>
      <c r="AJ224" s="25" t="s">
        <v>55</v>
      </c>
      <c r="AK224" s="25">
        <v>32</v>
      </c>
      <c r="AN224" s="25">
        <v>0</v>
      </c>
      <c r="AO224" s="26">
        <f t="shared" si="16"/>
        <v>3</v>
      </c>
    </row>
    <row r="225" spans="1:41" ht="15" hidden="1" customHeight="1">
      <c r="A225" s="25" t="s">
        <v>81</v>
      </c>
      <c r="B225" s="25" t="s">
        <v>118</v>
      </c>
      <c r="C225" s="25" t="s">
        <v>45</v>
      </c>
      <c r="D225" s="31" t="s">
        <v>126</v>
      </c>
      <c r="E225" s="25" t="str">
        <f>LEFT(Table1[[#This Row],[TeamID]],FIND("/",Table1[[#This Row],[TeamID]])-1)</f>
        <v>Daniel</v>
      </c>
      <c r="F225" s="26">
        <f>Table1[[#This Row],[TC-G1-AS]]+Table1[[#This Row],[TC-G2-AS]]+Table1[[#This Row],[TC-G3-AS]]+Table1[[#This Row],[TC-G4-AS]]+Table1[[#This Row],[TC-G5-AS]]</f>
        <v>1</v>
      </c>
      <c r="K225" s="25">
        <v>1</v>
      </c>
      <c r="L225" s="25" t="str">
        <f>SUBSTITUTE(Table1[[#This Row],[TeamID]],Table1[[#This Row],[Team Captain]]&amp;"/","")</f>
        <v>Art</v>
      </c>
      <c r="R225" s="26">
        <f>Table1[[#This Row],[P-G1-AS]]+Table1[[#This Row],[P-G2-AS]]+Table1[[#This Row],[P-G3-AS]]+Table1[[#This Row],[P-G4-AS]]+Table1[[#This Row],[P-G5-AS]]</f>
        <v>0</v>
      </c>
      <c r="S225" s="25">
        <v>45.55</v>
      </c>
      <c r="T225" s="25">
        <v>1</v>
      </c>
      <c r="U225" s="25" t="s">
        <v>89</v>
      </c>
      <c r="V225" s="25">
        <v>70</v>
      </c>
      <c r="W225" s="25">
        <v>35.5</v>
      </c>
      <c r="X225" s="25">
        <v>0</v>
      </c>
      <c r="AA225" s="26">
        <f t="shared" si="14"/>
        <v>40.524999999999999</v>
      </c>
      <c r="AB225" s="25">
        <v>1.1200000000000001</v>
      </c>
      <c r="AC225" s="25">
        <v>0</v>
      </c>
      <c r="AE225" s="25">
        <v>1.4</v>
      </c>
      <c r="AF225" s="25">
        <v>0</v>
      </c>
      <c r="AH225" s="26">
        <f t="shared" si="15"/>
        <v>1.26</v>
      </c>
      <c r="AI225" s="25">
        <v>21.5</v>
      </c>
      <c r="AJ225" s="25" t="s">
        <v>89</v>
      </c>
      <c r="AK225" s="25">
        <v>40</v>
      </c>
      <c r="AL225" s="25" t="s">
        <v>117</v>
      </c>
      <c r="AM225" s="25">
        <v>14</v>
      </c>
      <c r="AN225" s="25">
        <v>1</v>
      </c>
      <c r="AO225" s="26">
        <f t="shared" si="16"/>
        <v>2</v>
      </c>
    </row>
    <row r="226" spans="1:41" ht="15" hidden="1" customHeight="1">
      <c r="A226" s="28" t="s">
        <v>130</v>
      </c>
      <c r="B226" s="25" t="s">
        <v>118</v>
      </c>
      <c r="C226" s="25" t="s">
        <v>43</v>
      </c>
      <c r="D226" s="31" t="s">
        <v>120</v>
      </c>
      <c r="E226" s="25" t="str">
        <f>LEFT(Table1[[#This Row],[TeamID]],FIND("/",Table1[[#This Row],[TeamID]])-1)</f>
        <v>Mike A</v>
      </c>
      <c r="F226" s="26">
        <f>Table1[[#This Row],[TC-G1-AS]]+Table1[[#This Row],[TC-G2-AS]]+Table1[[#This Row],[TC-G3-AS]]+Table1[[#This Row],[TC-G4-AS]]+Table1[[#This Row],[TC-G5-AS]]</f>
        <v>2</v>
      </c>
      <c r="I226" s="25">
        <v>1</v>
      </c>
      <c r="J226" s="25">
        <v>1</v>
      </c>
      <c r="L226" s="25" t="str">
        <f>SUBSTITUTE(Table1[[#This Row],[TeamID]],Table1[[#This Row],[Team Captain]]&amp;"/","")</f>
        <v>Tristan</v>
      </c>
      <c r="R226" s="26">
        <f>Table1[[#This Row],[P-G1-AS]]+Table1[[#This Row],[P-G2-AS]]+Table1[[#This Row],[P-G3-AS]]+Table1[[#This Row],[P-G4-AS]]+Table1[[#This Row],[P-G5-AS]]</f>
        <v>0</v>
      </c>
      <c r="S226" s="25">
        <v>31.98</v>
      </c>
      <c r="T226" s="25">
        <v>1</v>
      </c>
      <c r="U226" s="25" t="s">
        <v>121</v>
      </c>
      <c r="V226" s="25">
        <v>2</v>
      </c>
      <c r="W226" s="25">
        <v>41.33</v>
      </c>
      <c r="X226" s="25">
        <v>0</v>
      </c>
      <c r="AA226" s="26">
        <f t="shared" ref="AA226:AA233" si="17">(S226+W226)/2</f>
        <v>36.655000000000001</v>
      </c>
      <c r="AB226" s="25">
        <v>1.56</v>
      </c>
      <c r="AC226" s="25">
        <v>1</v>
      </c>
      <c r="AD226" s="25" t="s">
        <v>57</v>
      </c>
      <c r="AE226" s="25">
        <v>1.07</v>
      </c>
      <c r="AF226" s="25">
        <v>1</v>
      </c>
      <c r="AG226" s="25" t="s">
        <v>57</v>
      </c>
      <c r="AH226" s="26">
        <f t="shared" ref="AH226:AH233" si="18">(AB226+AE226)/2</f>
        <v>1.3149999999999999</v>
      </c>
      <c r="AI226" s="25">
        <v>27.36</v>
      </c>
      <c r="AJ226" s="25" t="s">
        <v>121</v>
      </c>
      <c r="AK226" s="25">
        <v>32</v>
      </c>
      <c r="AL226" s="25" t="s">
        <v>57</v>
      </c>
      <c r="AM226" s="25">
        <v>18</v>
      </c>
      <c r="AN226" s="25">
        <v>1</v>
      </c>
      <c r="AO226" s="26">
        <f t="shared" ref="AO226:AO233" si="19">T226+AC226+AN226+AF226+X226</f>
        <v>4</v>
      </c>
    </row>
    <row r="227" spans="1:41" ht="15" hidden="1" customHeight="1">
      <c r="A227" s="29" t="s">
        <v>130</v>
      </c>
      <c r="B227" s="25" t="s">
        <v>118</v>
      </c>
      <c r="C227" s="25" t="s">
        <v>45</v>
      </c>
      <c r="D227" s="31" t="s">
        <v>124</v>
      </c>
      <c r="E227" s="25" t="str">
        <f>LEFT(Table1[[#This Row],[TeamID]],FIND("/",Table1[[#This Row],[TeamID]])-1)</f>
        <v>Clarence</v>
      </c>
      <c r="F227" s="26">
        <f>Table1[[#This Row],[TC-G1-AS]]+Table1[[#This Row],[TC-G2-AS]]+Table1[[#This Row],[TC-G3-AS]]+Table1[[#This Row],[TC-G4-AS]]+Table1[[#This Row],[TC-G5-AS]]</f>
        <v>2</v>
      </c>
      <c r="J227" s="25">
        <v>2</v>
      </c>
      <c r="L227" s="25" t="str">
        <f>SUBSTITUTE(Table1[[#This Row],[TeamID]],Table1[[#This Row],[Team Captain]]&amp;"/","")</f>
        <v>Tony</v>
      </c>
      <c r="M227" s="25">
        <v>1</v>
      </c>
      <c r="R227" s="26">
        <f>Table1[[#This Row],[P-G1-AS]]+Table1[[#This Row],[P-G2-AS]]+Table1[[#This Row],[P-G3-AS]]+Table1[[#This Row],[P-G4-AS]]+Table1[[#This Row],[P-G5-AS]]</f>
        <v>1</v>
      </c>
      <c r="S227" s="25">
        <v>31.8</v>
      </c>
      <c r="T227" s="25">
        <v>0</v>
      </c>
      <c r="W227" s="25">
        <v>39.549999999999997</v>
      </c>
      <c r="X227" s="25">
        <v>1</v>
      </c>
      <c r="Y227" s="25" t="s">
        <v>87</v>
      </c>
      <c r="Z227" s="25">
        <v>16</v>
      </c>
      <c r="AA227" s="26">
        <f t="shared" si="17"/>
        <v>35.674999999999997</v>
      </c>
      <c r="AB227" s="25">
        <v>1.28</v>
      </c>
      <c r="AC227" s="25">
        <v>0</v>
      </c>
      <c r="AE227" s="25">
        <v>1.1200000000000001</v>
      </c>
      <c r="AF227" s="25">
        <v>0</v>
      </c>
      <c r="AH227" s="26">
        <f t="shared" si="18"/>
        <v>1.2000000000000002</v>
      </c>
      <c r="AI227" s="25">
        <v>26.09</v>
      </c>
      <c r="AJ227" s="25" t="s">
        <v>87</v>
      </c>
      <c r="AK227" s="25">
        <v>35</v>
      </c>
      <c r="AN227" s="25">
        <v>0</v>
      </c>
      <c r="AO227" s="26">
        <f t="shared" si="19"/>
        <v>1</v>
      </c>
    </row>
    <row r="228" spans="1:41" ht="15" hidden="1" customHeight="1">
      <c r="A228" s="29" t="s">
        <v>131</v>
      </c>
      <c r="B228" s="25" t="s">
        <v>118</v>
      </c>
      <c r="C228" s="25" t="s">
        <v>43</v>
      </c>
      <c r="D228" s="31" t="s">
        <v>122</v>
      </c>
      <c r="E228" s="25" t="str">
        <f>LEFT(Table1[[#This Row],[TeamID]],FIND("/",Table1[[#This Row],[TeamID]])-1)</f>
        <v>Mark</v>
      </c>
      <c r="F228" s="26">
        <f>Table1[[#This Row],[TC-G1-AS]]+Table1[[#This Row],[TC-G2-AS]]+Table1[[#This Row],[TC-G3-AS]]+Table1[[#This Row],[TC-G4-AS]]+Table1[[#This Row],[TC-G5-AS]]</f>
        <v>1</v>
      </c>
      <c r="G228" s="25">
        <v>1</v>
      </c>
      <c r="L228" s="25" t="str">
        <f>SUBSTITUTE(Table1[[#This Row],[TeamID]],Table1[[#This Row],[Team Captain]]&amp;"/","")</f>
        <v>Jason</v>
      </c>
      <c r="R228" s="26">
        <f>Table1[[#This Row],[P-G1-AS]]+Table1[[#This Row],[P-G2-AS]]+Table1[[#This Row],[P-G3-AS]]+Table1[[#This Row],[P-G4-AS]]+Table1[[#This Row],[P-G5-AS]]</f>
        <v>0</v>
      </c>
      <c r="S228" s="25">
        <v>46.97</v>
      </c>
      <c r="T228" s="25">
        <v>1</v>
      </c>
      <c r="U228" s="25" t="s">
        <v>99</v>
      </c>
      <c r="V228" s="25">
        <v>58</v>
      </c>
      <c r="W228" s="25">
        <v>29.12</v>
      </c>
      <c r="X228" s="25">
        <v>0</v>
      </c>
      <c r="AA228" s="26">
        <f t="shared" si="17"/>
        <v>38.045000000000002</v>
      </c>
      <c r="AB228" s="25">
        <v>1.26</v>
      </c>
      <c r="AC228" s="25">
        <v>0</v>
      </c>
      <c r="AE228" s="25">
        <v>1.1499999999999999</v>
      </c>
      <c r="AF228" s="25">
        <v>0</v>
      </c>
      <c r="AH228" s="26">
        <f t="shared" si="18"/>
        <v>1.2050000000000001</v>
      </c>
      <c r="AI228" s="25">
        <v>19.920000000000002</v>
      </c>
      <c r="AJ228" s="25" t="s">
        <v>102</v>
      </c>
      <c r="AK228" s="25">
        <v>12</v>
      </c>
      <c r="AN228" s="25">
        <v>0</v>
      </c>
      <c r="AO228" s="26">
        <f t="shared" si="19"/>
        <v>1</v>
      </c>
    </row>
    <row r="229" spans="1:41" ht="15" hidden="1" customHeight="1">
      <c r="A229" s="29" t="s">
        <v>131</v>
      </c>
      <c r="B229" s="25" t="s">
        <v>118</v>
      </c>
      <c r="C229" s="25" t="s">
        <v>45</v>
      </c>
      <c r="D229" s="31" t="s">
        <v>126</v>
      </c>
      <c r="E229" s="25" t="str">
        <f>LEFT(Table1[[#This Row],[TeamID]],FIND("/",Table1[[#This Row],[TeamID]])-1)</f>
        <v>Daniel</v>
      </c>
      <c r="F229" s="26">
        <f>Table1[[#This Row],[TC-G1-AS]]+Table1[[#This Row],[TC-G2-AS]]+Table1[[#This Row],[TC-G3-AS]]+Table1[[#This Row],[TC-G4-AS]]+Table1[[#This Row],[TC-G5-AS]]</f>
        <v>1</v>
      </c>
      <c r="K229" s="25">
        <v>1</v>
      </c>
      <c r="L229" s="25" t="str">
        <f>SUBSTITUTE(Table1[[#This Row],[TeamID]],Table1[[#This Row],[Team Captain]]&amp;"/","")</f>
        <v>Art</v>
      </c>
      <c r="R229" s="26">
        <f>Table1[[#This Row],[P-G1-AS]]+Table1[[#This Row],[P-G2-AS]]+Table1[[#This Row],[P-G3-AS]]+Table1[[#This Row],[P-G4-AS]]+Table1[[#This Row],[P-G5-AS]]</f>
        <v>0</v>
      </c>
      <c r="S229" s="25">
        <v>40.6</v>
      </c>
      <c r="T229" s="25">
        <v>0</v>
      </c>
      <c r="W229" s="25">
        <v>27.83</v>
      </c>
      <c r="X229" s="25">
        <v>1</v>
      </c>
      <c r="Y229" s="25" t="s">
        <v>89</v>
      </c>
      <c r="Z229" s="25">
        <v>10</v>
      </c>
      <c r="AA229" s="26">
        <f t="shared" si="17"/>
        <v>34.215000000000003</v>
      </c>
      <c r="AB229" s="25">
        <v>1.3</v>
      </c>
      <c r="AC229" s="25">
        <v>1</v>
      </c>
      <c r="AD229" s="25" t="s">
        <v>89</v>
      </c>
      <c r="AE229" s="25">
        <v>1.26</v>
      </c>
      <c r="AF229" s="25">
        <v>1</v>
      </c>
      <c r="AG229" s="25" t="s">
        <v>89</v>
      </c>
      <c r="AH229" s="26">
        <f t="shared" si="18"/>
        <v>1.28</v>
      </c>
      <c r="AI229" s="25">
        <v>21</v>
      </c>
      <c r="AJ229" s="25" t="s">
        <v>117</v>
      </c>
      <c r="AK229" s="25">
        <v>76</v>
      </c>
      <c r="AL229" s="25" t="s">
        <v>89</v>
      </c>
      <c r="AM229" s="25">
        <v>4</v>
      </c>
      <c r="AN229" s="25">
        <v>1</v>
      </c>
      <c r="AO229" s="26">
        <f t="shared" si="19"/>
        <v>4</v>
      </c>
    </row>
    <row r="230" spans="1:41" ht="15" hidden="1" customHeight="1">
      <c r="A230" s="29" t="s">
        <v>132</v>
      </c>
      <c r="B230" s="25" t="s">
        <v>118</v>
      </c>
      <c r="C230" s="25" t="s">
        <v>43</v>
      </c>
      <c r="D230" s="31" t="s">
        <v>123</v>
      </c>
      <c r="E230" s="25" t="str">
        <f>LEFT(Table1[[#This Row],[TeamID]],FIND("/",Table1[[#This Row],[TeamID]])-1)</f>
        <v>Brian</v>
      </c>
      <c r="F230" s="26">
        <f>Table1[[#This Row],[TC-G1-AS]]+Table1[[#This Row],[TC-G2-AS]]+Table1[[#This Row],[TC-G3-AS]]+Table1[[#This Row],[TC-G4-AS]]+Table1[[#This Row],[TC-G5-AS]]</f>
        <v>3</v>
      </c>
      <c r="G230" s="25">
        <v>1</v>
      </c>
      <c r="I230" s="25">
        <v>1</v>
      </c>
      <c r="K230" s="25">
        <v>1</v>
      </c>
      <c r="L230" s="25" t="s">
        <v>129</v>
      </c>
      <c r="R230" s="26">
        <f>Table1[[#This Row],[P-G1-AS]]+Table1[[#This Row],[P-G2-AS]]+Table1[[#This Row],[P-G3-AS]]+Table1[[#This Row],[P-G4-AS]]+Table1[[#This Row],[P-G5-AS]]</f>
        <v>0</v>
      </c>
      <c r="S230" s="25">
        <v>40.6</v>
      </c>
      <c r="T230" s="25">
        <v>1</v>
      </c>
      <c r="U230" s="25" t="s">
        <v>96</v>
      </c>
      <c r="V230" s="25">
        <v>30</v>
      </c>
      <c r="W230" s="25">
        <v>34.4</v>
      </c>
      <c r="X230" s="25">
        <v>0</v>
      </c>
      <c r="AA230" s="26">
        <f t="shared" si="17"/>
        <v>37.5</v>
      </c>
      <c r="AB230" s="25">
        <v>1.8</v>
      </c>
      <c r="AC230" s="25">
        <v>1</v>
      </c>
      <c r="AD230" s="25" t="s">
        <v>92</v>
      </c>
      <c r="AE230" s="25">
        <v>1</v>
      </c>
      <c r="AF230" s="25">
        <v>0</v>
      </c>
      <c r="AH230" s="26">
        <f t="shared" si="18"/>
        <v>1.4</v>
      </c>
      <c r="AI230" s="25">
        <v>33.4</v>
      </c>
      <c r="AJ230" s="25" t="s">
        <v>101</v>
      </c>
      <c r="AK230" s="25">
        <v>32</v>
      </c>
      <c r="AL230" s="25" t="s">
        <v>96</v>
      </c>
      <c r="AM230" s="25">
        <v>9</v>
      </c>
      <c r="AN230" s="25">
        <v>1</v>
      </c>
      <c r="AO230" s="26">
        <f t="shared" si="19"/>
        <v>3</v>
      </c>
    </row>
    <row r="231" spans="1:41" ht="15" hidden="1" customHeight="1">
      <c r="A231" s="29" t="s">
        <v>132</v>
      </c>
      <c r="B231" s="25" t="s">
        <v>118</v>
      </c>
      <c r="C231" s="25" t="s">
        <v>45</v>
      </c>
      <c r="D231" s="31" t="s">
        <v>127</v>
      </c>
      <c r="E231" s="25" t="str">
        <f>LEFT(Table1[[#This Row],[TeamID]],FIND("/",Table1[[#This Row],[TeamID]])-1)</f>
        <v>Todd</v>
      </c>
      <c r="F231" s="26">
        <f>Table1[[#This Row],[TC-G1-AS]]+Table1[[#This Row],[TC-G2-AS]]+Table1[[#This Row],[TC-G3-AS]]+Table1[[#This Row],[TC-G4-AS]]+Table1[[#This Row],[TC-G5-AS]]</f>
        <v>1</v>
      </c>
      <c r="J231" s="25">
        <v>1</v>
      </c>
      <c r="L231" s="25" t="str">
        <f>SUBSTITUTE(Table1[[#This Row],[TeamID]],Table1[[#This Row],[Team Captain]]&amp;"/","")</f>
        <v>Neil</v>
      </c>
      <c r="O231" s="25">
        <v>1</v>
      </c>
      <c r="R231" s="26">
        <f>Table1[[#This Row],[P-G1-AS]]+Table1[[#This Row],[P-G2-AS]]+Table1[[#This Row],[P-G3-AS]]+Table1[[#This Row],[P-G4-AS]]+Table1[[#This Row],[P-G5-AS]]</f>
        <v>1</v>
      </c>
      <c r="S231" s="25">
        <v>35.299999999999997</v>
      </c>
      <c r="T231" s="25">
        <v>0</v>
      </c>
      <c r="W231" s="25">
        <v>34.200000000000003</v>
      </c>
      <c r="X231" s="25">
        <v>1</v>
      </c>
      <c r="Y231" s="25" t="s">
        <v>92</v>
      </c>
      <c r="Z231" s="25">
        <v>35</v>
      </c>
      <c r="AA231" s="26">
        <f t="shared" si="17"/>
        <v>34.75</v>
      </c>
      <c r="AB231" s="25">
        <v>1.5</v>
      </c>
      <c r="AC231" s="25">
        <v>0</v>
      </c>
      <c r="AE231" s="25">
        <v>1.1000000000000001</v>
      </c>
      <c r="AF231" s="25">
        <v>1</v>
      </c>
      <c r="AG231" s="25" t="s">
        <v>92</v>
      </c>
      <c r="AH231" s="26">
        <f t="shared" si="18"/>
        <v>1.3</v>
      </c>
      <c r="AI231" s="25">
        <v>36.299999999999997</v>
      </c>
      <c r="AJ231" s="25" t="s">
        <v>97</v>
      </c>
      <c r="AK231" s="25">
        <v>17</v>
      </c>
      <c r="AN231" s="25">
        <v>0</v>
      </c>
      <c r="AO231" s="26">
        <f t="shared" si="19"/>
        <v>2</v>
      </c>
    </row>
    <row r="232" spans="1:41" ht="15" hidden="1" customHeight="1">
      <c r="A232" s="29" t="s">
        <v>133</v>
      </c>
      <c r="B232" s="25" t="s">
        <v>118</v>
      </c>
      <c r="C232" s="25" t="s">
        <v>43</v>
      </c>
      <c r="D232" s="31" t="s">
        <v>119</v>
      </c>
      <c r="E232" s="25" t="str">
        <f>LEFT(Table1[[#This Row],[TeamID]],FIND("/",Table1[[#This Row],[TeamID]])-1)</f>
        <v>Kevin</v>
      </c>
      <c r="F232" s="26">
        <f>Table1[[#This Row],[TC-G1-AS]]+Table1[[#This Row],[TC-G2-AS]]+Table1[[#This Row],[TC-G3-AS]]+Table1[[#This Row],[TC-G4-AS]]+Table1[[#This Row],[TC-G5-AS]]</f>
        <v>2</v>
      </c>
      <c r="H232" s="25">
        <v>2</v>
      </c>
      <c r="L232" s="25" t="str">
        <f>SUBSTITUTE(Table1[[#This Row],[TeamID]],Table1[[#This Row],[Team Captain]]&amp;"/","")</f>
        <v>Jeremy</v>
      </c>
      <c r="N232" s="25">
        <v>1</v>
      </c>
      <c r="O232" s="25">
        <v>1</v>
      </c>
      <c r="R232" s="26">
        <f>Table1[[#This Row],[P-G1-AS]]+Table1[[#This Row],[P-G2-AS]]+Table1[[#This Row],[P-G3-AS]]+Table1[[#This Row],[P-G4-AS]]+Table1[[#This Row],[P-G5-AS]]</f>
        <v>2</v>
      </c>
      <c r="S232" s="25">
        <v>33.4</v>
      </c>
      <c r="T232" s="25">
        <v>1</v>
      </c>
      <c r="U232" s="25" t="s">
        <v>55</v>
      </c>
      <c r="V232" s="25">
        <v>16</v>
      </c>
      <c r="W232" s="25">
        <v>41.75</v>
      </c>
      <c r="X232" s="25">
        <v>1</v>
      </c>
      <c r="Y232" s="25" t="s">
        <v>55</v>
      </c>
      <c r="Z232" s="25">
        <v>43</v>
      </c>
      <c r="AA232" s="26">
        <f t="shared" si="17"/>
        <v>37.575000000000003</v>
      </c>
      <c r="AB232" s="25">
        <v>1.93</v>
      </c>
      <c r="AC232" s="25">
        <v>1</v>
      </c>
      <c r="AD232" s="25" t="s">
        <v>116</v>
      </c>
      <c r="AE232" s="25">
        <v>1.19</v>
      </c>
      <c r="AF232" s="25">
        <v>0</v>
      </c>
      <c r="AH232" s="26">
        <f t="shared" si="18"/>
        <v>1.56</v>
      </c>
      <c r="AI232" s="25">
        <v>27.67</v>
      </c>
      <c r="AJ232" s="25" t="s">
        <v>116</v>
      </c>
      <c r="AK232" s="25">
        <v>18</v>
      </c>
      <c r="AN232" s="25">
        <v>0</v>
      </c>
      <c r="AO232" s="26">
        <f t="shared" si="19"/>
        <v>3</v>
      </c>
    </row>
    <row r="233" spans="1:41" ht="15" hidden="1" customHeight="1">
      <c r="A233" s="29" t="s">
        <v>133</v>
      </c>
      <c r="B233" s="25" t="s">
        <v>118</v>
      </c>
      <c r="C233" s="25" t="s">
        <v>45</v>
      </c>
      <c r="D233" s="31" t="s">
        <v>128</v>
      </c>
      <c r="E233" s="25" t="str">
        <f>LEFT(Table1[[#This Row],[TeamID]],FIND("/",Table1[[#This Row],[TeamID]])-1)</f>
        <v>Tayven</v>
      </c>
      <c r="F233" s="26">
        <f>Table1[[#This Row],[TC-G1-AS]]+Table1[[#This Row],[TC-G2-AS]]+Table1[[#This Row],[TC-G3-AS]]+Table1[[#This Row],[TC-G4-AS]]+Table1[[#This Row],[TC-G5-AS]]</f>
        <v>1</v>
      </c>
      <c r="H233" s="25">
        <v>1</v>
      </c>
      <c r="L233" s="25" t="str">
        <f>SUBSTITUTE(Table1[[#This Row],[TeamID]],Table1[[#This Row],[Team Captain]]&amp;"/","")</f>
        <v>Mike H</v>
      </c>
      <c r="R233" s="26">
        <f>Table1[[#This Row],[P-G1-AS]]+Table1[[#This Row],[P-G2-AS]]+Table1[[#This Row],[P-G3-AS]]+Table1[[#This Row],[P-G4-AS]]+Table1[[#This Row],[P-G5-AS]]</f>
        <v>0</v>
      </c>
      <c r="S233" s="25">
        <v>32.07</v>
      </c>
      <c r="T233" s="25">
        <v>0</v>
      </c>
      <c r="W233" s="25">
        <v>39.270000000000003</v>
      </c>
      <c r="X233" s="25">
        <v>0</v>
      </c>
      <c r="AA233" s="26">
        <f t="shared" si="17"/>
        <v>35.67</v>
      </c>
      <c r="AB233" s="25">
        <v>0.85</v>
      </c>
      <c r="AC233" s="25">
        <v>0</v>
      </c>
      <c r="AE233" s="25">
        <v>1.55</v>
      </c>
      <c r="AF233" s="25">
        <v>1</v>
      </c>
      <c r="AG233" s="25" t="s">
        <v>86</v>
      </c>
      <c r="AH233" s="26">
        <f t="shared" si="18"/>
        <v>1.2</v>
      </c>
      <c r="AI233" s="25">
        <v>32.25</v>
      </c>
      <c r="AJ233" s="25" t="s">
        <v>86</v>
      </c>
      <c r="AK233" s="25">
        <v>42</v>
      </c>
      <c r="AL233" s="25" t="s">
        <v>86</v>
      </c>
      <c r="AM233" s="25">
        <v>40</v>
      </c>
      <c r="AN233" s="25">
        <v>1</v>
      </c>
      <c r="AO233" s="26">
        <f t="shared" si="19"/>
        <v>2</v>
      </c>
    </row>
    <row r="234" spans="1:41" ht="15" hidden="1" customHeight="1">
      <c r="A234" s="28" t="s">
        <v>134</v>
      </c>
      <c r="B234" s="25" t="s">
        <v>118</v>
      </c>
      <c r="C234" s="25" t="s">
        <v>43</v>
      </c>
      <c r="D234" s="31" t="s">
        <v>125</v>
      </c>
      <c r="E234" s="25" t="str">
        <f>LEFT(Table1[[#This Row],[TeamID]],FIND("/",Table1[[#This Row],[TeamID]])-1)</f>
        <v>Mike C</v>
      </c>
      <c r="F234" s="26">
        <f>Table1[[#This Row],[TC-G1-AS]]+Table1[[#This Row],[TC-G2-AS]]+Table1[[#This Row],[TC-G3-AS]]+Table1[[#This Row],[TC-G4-AS]]+Table1[[#This Row],[TC-G5-AS]]</f>
        <v>4</v>
      </c>
      <c r="G234" s="25">
        <v>1</v>
      </c>
      <c r="I234" s="25">
        <v>1</v>
      </c>
      <c r="K234" s="25">
        <v>2</v>
      </c>
      <c r="L234" s="25" t="str">
        <f>SUBSTITUTE(Table1[[#This Row],[TeamID]],Table1[[#This Row],[Team Captain]]&amp;"/","")</f>
        <v>Paul</v>
      </c>
      <c r="Q234" s="25">
        <v>1</v>
      </c>
      <c r="R234" s="26">
        <f>Table1[[#This Row],[P-G1-AS]]+Table1[[#This Row],[P-G2-AS]]+Table1[[#This Row],[P-G3-AS]]+Table1[[#This Row],[P-G4-AS]]+Table1[[#This Row],[P-G5-AS]]</f>
        <v>1</v>
      </c>
      <c r="S234" s="25">
        <v>33.4</v>
      </c>
      <c r="T234" s="25">
        <v>0</v>
      </c>
      <c r="W234" s="25">
        <v>34.950000000000003</v>
      </c>
      <c r="X234" s="25">
        <v>1</v>
      </c>
      <c r="Y234" s="25" t="s">
        <v>84</v>
      </c>
      <c r="Z234" s="25">
        <v>16</v>
      </c>
      <c r="AA234" s="26">
        <f t="shared" ref="AA234:AA241" si="20">(S234+W234)/2</f>
        <v>34.174999999999997</v>
      </c>
      <c r="AB234" s="25">
        <v>1.43</v>
      </c>
      <c r="AC234" s="25">
        <v>1</v>
      </c>
      <c r="AD234" s="25" t="s">
        <v>84</v>
      </c>
      <c r="AE234" s="25">
        <v>1.76</v>
      </c>
      <c r="AF234" s="25">
        <v>1</v>
      </c>
      <c r="AG234" s="25" t="s">
        <v>94</v>
      </c>
      <c r="AH234" s="26">
        <f t="shared" ref="AH234:AH241" si="21">(AB234+AE234)/2</f>
        <v>1.595</v>
      </c>
      <c r="AI234" s="25">
        <v>53.12</v>
      </c>
      <c r="AJ234" s="25" t="s">
        <v>84</v>
      </c>
      <c r="AK234" s="25">
        <v>20</v>
      </c>
      <c r="AL234" s="25" t="s">
        <v>84</v>
      </c>
      <c r="AM234" s="25">
        <v>100</v>
      </c>
      <c r="AN234" s="25">
        <v>1</v>
      </c>
      <c r="AO234" s="26">
        <f t="shared" ref="AO234:AO241" si="22">T234+AC234+AN234+AF234+X234</f>
        <v>4</v>
      </c>
    </row>
    <row r="235" spans="1:41" ht="15" hidden="1" customHeight="1">
      <c r="A235" s="28" t="s">
        <v>134</v>
      </c>
      <c r="B235" s="25" t="s">
        <v>118</v>
      </c>
      <c r="C235" s="25" t="s">
        <v>45</v>
      </c>
      <c r="D235" s="31" t="s">
        <v>122</v>
      </c>
      <c r="E235" s="25" t="str">
        <f>LEFT(Table1[[#This Row],[TeamID]],FIND("/",Table1[[#This Row],[TeamID]])-1)</f>
        <v>Mark</v>
      </c>
      <c r="F235" s="26">
        <f>Table1[[#This Row],[TC-G1-AS]]+Table1[[#This Row],[TC-G2-AS]]+Table1[[#This Row],[TC-G3-AS]]+Table1[[#This Row],[TC-G4-AS]]+Table1[[#This Row],[TC-G5-AS]]</f>
        <v>0</v>
      </c>
      <c r="L235" s="25" t="str">
        <f>SUBSTITUTE(Table1[[#This Row],[TeamID]],Table1[[#This Row],[Team Captain]]&amp;"/","")</f>
        <v>Jason</v>
      </c>
      <c r="R235" s="26">
        <f>Table1[[#This Row],[P-G1-AS]]+Table1[[#This Row],[P-G2-AS]]+Table1[[#This Row],[P-G3-AS]]+Table1[[#This Row],[P-G4-AS]]+Table1[[#This Row],[P-G5-AS]]</f>
        <v>0</v>
      </c>
      <c r="S235" s="25">
        <v>35.21</v>
      </c>
      <c r="T235" s="25">
        <v>1</v>
      </c>
      <c r="U235" s="25" t="s">
        <v>102</v>
      </c>
      <c r="V235" s="25">
        <v>6</v>
      </c>
      <c r="W235" s="25">
        <v>34.93</v>
      </c>
      <c r="X235" s="25">
        <v>0</v>
      </c>
      <c r="AA235" s="26">
        <f t="shared" si="20"/>
        <v>35.07</v>
      </c>
      <c r="AB235" s="25">
        <v>1.23</v>
      </c>
      <c r="AC235" s="25">
        <v>0</v>
      </c>
      <c r="AE235" s="25">
        <v>1.76</v>
      </c>
      <c r="AF235" s="25">
        <v>0</v>
      </c>
      <c r="AH235" s="26">
        <f t="shared" si="21"/>
        <v>1.4950000000000001</v>
      </c>
      <c r="AI235" s="25">
        <v>31.6</v>
      </c>
      <c r="AJ235" s="25" t="s">
        <v>99</v>
      </c>
      <c r="AK235" s="25">
        <v>16</v>
      </c>
      <c r="AN235" s="25">
        <v>0</v>
      </c>
      <c r="AO235" s="26">
        <f t="shared" si="22"/>
        <v>1</v>
      </c>
    </row>
    <row r="236" spans="1:41" ht="15" hidden="1" customHeight="1">
      <c r="A236" s="29" t="s">
        <v>135</v>
      </c>
      <c r="B236" s="25" t="s">
        <v>118</v>
      </c>
      <c r="C236" s="25" t="s">
        <v>43</v>
      </c>
      <c r="D236" s="31" t="s">
        <v>128</v>
      </c>
      <c r="E236" s="25" t="str">
        <f>LEFT(Table1[[#This Row],[TeamID]],FIND("/",Table1[[#This Row],[TeamID]])-1)</f>
        <v>Tayven</v>
      </c>
      <c r="F236" s="26">
        <f>Table1[[#This Row],[TC-G1-AS]]+Table1[[#This Row],[TC-G2-AS]]+Table1[[#This Row],[TC-G3-AS]]+Table1[[#This Row],[TC-G4-AS]]+Table1[[#This Row],[TC-G5-AS]]</f>
        <v>0</v>
      </c>
      <c r="L236" s="25" t="str">
        <f>SUBSTITUTE(Table1[[#This Row],[TeamID]],Table1[[#This Row],[Team Captain]]&amp;"/","")</f>
        <v>Mike H</v>
      </c>
      <c r="R236" s="26">
        <f>Table1[[#This Row],[P-G1-AS]]+Table1[[#This Row],[P-G2-AS]]+Table1[[#This Row],[P-G3-AS]]+Table1[[#This Row],[P-G4-AS]]+Table1[[#This Row],[P-G5-AS]]</f>
        <v>0</v>
      </c>
      <c r="S236" s="25">
        <v>38.54</v>
      </c>
      <c r="T236" s="25">
        <v>1</v>
      </c>
      <c r="U236" s="25" t="s">
        <v>86</v>
      </c>
      <c r="V236" s="25">
        <v>50</v>
      </c>
      <c r="W236" s="25">
        <v>36.659999999999997</v>
      </c>
      <c r="X236" s="25">
        <v>1</v>
      </c>
      <c r="Y236" s="25" t="s">
        <v>91</v>
      </c>
      <c r="Z236" s="25">
        <v>35</v>
      </c>
      <c r="AA236" s="26">
        <f t="shared" si="20"/>
        <v>37.599999999999994</v>
      </c>
      <c r="AB236" s="25">
        <v>1.81</v>
      </c>
      <c r="AC236" s="25">
        <v>1</v>
      </c>
      <c r="AD236" s="25" t="s">
        <v>86</v>
      </c>
      <c r="AE236" s="25">
        <v>1.92</v>
      </c>
      <c r="AF236" s="25">
        <v>1</v>
      </c>
      <c r="AG236" s="25" t="s">
        <v>86</v>
      </c>
      <c r="AH236" s="26">
        <f t="shared" si="21"/>
        <v>1.865</v>
      </c>
      <c r="AI236" s="25">
        <v>25.85</v>
      </c>
      <c r="AJ236" s="25" t="s">
        <v>86</v>
      </c>
      <c r="AK236" s="25">
        <v>58</v>
      </c>
      <c r="AN236" s="25">
        <v>0</v>
      </c>
      <c r="AO236" s="26">
        <f t="shared" si="22"/>
        <v>4</v>
      </c>
    </row>
    <row r="237" spans="1:41" ht="15" hidden="1" customHeight="1">
      <c r="A237" s="29" t="s">
        <v>135</v>
      </c>
      <c r="B237" s="25" t="s">
        <v>118</v>
      </c>
      <c r="C237" s="25" t="s">
        <v>45</v>
      </c>
      <c r="D237" s="31" t="s">
        <v>123</v>
      </c>
      <c r="E237" s="25" t="str">
        <f>LEFT(Table1[[#This Row],[TeamID]],FIND("/",Table1[[#This Row],[TeamID]])-1)</f>
        <v>Brian</v>
      </c>
      <c r="F237" s="26">
        <f>Table1[[#This Row],[TC-G1-AS]]+Table1[[#This Row],[TC-G2-AS]]+Table1[[#This Row],[TC-G3-AS]]+Table1[[#This Row],[TC-G4-AS]]+Table1[[#This Row],[TC-G5-AS]]</f>
        <v>3</v>
      </c>
      <c r="G237" s="25">
        <v>1</v>
      </c>
      <c r="H237" s="25">
        <v>1</v>
      </c>
      <c r="J237" s="25">
        <v>1</v>
      </c>
      <c r="L237" s="25" t="s">
        <v>129</v>
      </c>
      <c r="R237" s="26">
        <f>Table1[[#This Row],[P-G1-AS]]+Table1[[#This Row],[P-G2-AS]]+Table1[[#This Row],[P-G3-AS]]+Table1[[#This Row],[P-G4-AS]]+Table1[[#This Row],[P-G5-AS]]</f>
        <v>0</v>
      </c>
      <c r="S237" s="25">
        <v>39.67</v>
      </c>
      <c r="T237" s="25">
        <v>0</v>
      </c>
      <c r="W237" s="25">
        <v>33.64</v>
      </c>
      <c r="X237" s="25">
        <v>0</v>
      </c>
      <c r="AA237" s="26">
        <f t="shared" si="20"/>
        <v>36.655000000000001</v>
      </c>
      <c r="AB237" s="25">
        <v>1.1299999999999999</v>
      </c>
      <c r="AC237" s="25">
        <v>0</v>
      </c>
      <c r="AE237" s="25">
        <v>1.31</v>
      </c>
      <c r="AF237" s="25">
        <v>0</v>
      </c>
      <c r="AH237" s="26">
        <f t="shared" si="21"/>
        <v>1.22</v>
      </c>
      <c r="AI237" s="25">
        <v>24.41</v>
      </c>
      <c r="AJ237" s="25" t="s">
        <v>129</v>
      </c>
      <c r="AK237" s="25">
        <v>52</v>
      </c>
      <c r="AL237" s="25" t="s">
        <v>96</v>
      </c>
      <c r="AM237" s="25">
        <v>16</v>
      </c>
      <c r="AN237" s="25">
        <v>1</v>
      </c>
      <c r="AO237" s="26">
        <f t="shared" si="22"/>
        <v>1</v>
      </c>
    </row>
    <row r="238" spans="1:41" ht="15" hidden="1" customHeight="1">
      <c r="A238" s="29" t="s">
        <v>136</v>
      </c>
      <c r="B238" s="25" t="s">
        <v>118</v>
      </c>
      <c r="C238" s="25" t="s">
        <v>43</v>
      </c>
      <c r="D238" s="31" t="s">
        <v>119</v>
      </c>
      <c r="E238" s="25" t="str">
        <f>LEFT(Table1[[#This Row],[TeamID]],FIND("/",Table1[[#This Row],[TeamID]])-1)</f>
        <v>Kevin</v>
      </c>
      <c r="F238" s="26">
        <f>Table1[[#This Row],[TC-G1-AS]]+Table1[[#This Row],[TC-G2-AS]]+Table1[[#This Row],[TC-G3-AS]]+Table1[[#This Row],[TC-G4-AS]]+Table1[[#This Row],[TC-G5-AS]]</f>
        <v>4</v>
      </c>
      <c r="G238" s="25">
        <v>1</v>
      </c>
      <c r="I238" s="25">
        <v>2</v>
      </c>
      <c r="J238" s="25">
        <v>1</v>
      </c>
      <c r="L238" s="25" t="str">
        <f>SUBSTITUTE(Table1[[#This Row],[TeamID]],Table1[[#This Row],[Team Captain]]&amp;"/","")</f>
        <v>Jeremy</v>
      </c>
      <c r="R238" s="26">
        <f>Table1[[#This Row],[P-G1-AS]]+Table1[[#This Row],[P-G2-AS]]+Table1[[#This Row],[P-G3-AS]]+Table1[[#This Row],[P-G4-AS]]+Table1[[#This Row],[P-G5-AS]]</f>
        <v>0</v>
      </c>
      <c r="S238" s="25">
        <v>42.9</v>
      </c>
      <c r="T238" s="25">
        <v>1</v>
      </c>
      <c r="U238" s="25" t="s">
        <v>116</v>
      </c>
      <c r="V238" s="25">
        <v>28</v>
      </c>
      <c r="W238" s="25">
        <v>26.8</v>
      </c>
      <c r="X238" s="25">
        <v>1</v>
      </c>
      <c r="Y238" s="25" t="s">
        <v>55</v>
      </c>
      <c r="Z238" s="25">
        <v>24</v>
      </c>
      <c r="AA238" s="26">
        <f t="shared" si="20"/>
        <v>34.85</v>
      </c>
      <c r="AB238" s="25">
        <v>1.4</v>
      </c>
      <c r="AC238" s="25">
        <v>0</v>
      </c>
      <c r="AE238" s="25">
        <v>1.7</v>
      </c>
      <c r="AF238" s="25">
        <v>1</v>
      </c>
      <c r="AG238" s="25" t="s">
        <v>55</v>
      </c>
      <c r="AH238" s="26">
        <f t="shared" si="21"/>
        <v>1.5499999999999998</v>
      </c>
      <c r="AI238" s="25">
        <v>28.2</v>
      </c>
      <c r="AJ238" s="25" t="s">
        <v>55</v>
      </c>
      <c r="AK238" s="25">
        <v>52</v>
      </c>
      <c r="AL238" s="25" t="s">
        <v>55</v>
      </c>
      <c r="AM238" s="25">
        <v>16</v>
      </c>
      <c r="AN238" s="25">
        <v>1</v>
      </c>
      <c r="AO238" s="26">
        <f t="shared" si="22"/>
        <v>4</v>
      </c>
    </row>
    <row r="239" spans="1:41" ht="15" hidden="1" customHeight="1">
      <c r="A239" s="29" t="s">
        <v>136</v>
      </c>
      <c r="B239" s="25" t="s">
        <v>118</v>
      </c>
      <c r="C239" s="25" t="s">
        <v>45</v>
      </c>
      <c r="D239" s="31" t="s">
        <v>124</v>
      </c>
      <c r="E239" s="25" t="str">
        <f>LEFT(Table1[[#This Row],[TeamID]],FIND("/",Table1[[#This Row],[TeamID]])-1)</f>
        <v>Clarence</v>
      </c>
      <c r="F239" s="26">
        <f>Table1[[#This Row],[TC-G1-AS]]+Table1[[#This Row],[TC-G2-AS]]+Table1[[#This Row],[TC-G3-AS]]+Table1[[#This Row],[TC-G4-AS]]+Table1[[#This Row],[TC-G5-AS]]</f>
        <v>3</v>
      </c>
      <c r="G239" s="25">
        <v>2</v>
      </c>
      <c r="K239" s="25">
        <v>1</v>
      </c>
      <c r="L239" s="25" t="str">
        <f>SUBSTITUTE(Table1[[#This Row],[TeamID]],Table1[[#This Row],[Team Captain]]&amp;"/","")</f>
        <v>Tony</v>
      </c>
      <c r="R239" s="26">
        <f>Table1[[#This Row],[P-G1-AS]]+Table1[[#This Row],[P-G2-AS]]+Table1[[#This Row],[P-G3-AS]]+Table1[[#This Row],[P-G4-AS]]+Table1[[#This Row],[P-G5-AS]]</f>
        <v>0</v>
      </c>
      <c r="S239" s="25">
        <v>31.5</v>
      </c>
      <c r="T239" s="25">
        <v>0</v>
      </c>
      <c r="W239" s="25">
        <v>25.9</v>
      </c>
      <c r="X239" s="25">
        <v>0</v>
      </c>
      <c r="AA239" s="26">
        <f t="shared" si="20"/>
        <v>28.7</v>
      </c>
      <c r="AB239" s="25">
        <v>1.4</v>
      </c>
      <c r="AC239" s="25">
        <v>1</v>
      </c>
      <c r="AD239" s="25" t="s">
        <v>87</v>
      </c>
      <c r="AE239" s="25">
        <v>1.4</v>
      </c>
      <c r="AF239" s="25">
        <v>0</v>
      </c>
      <c r="AH239" s="26">
        <f t="shared" si="21"/>
        <v>1.4</v>
      </c>
      <c r="AI239" s="25">
        <v>24.1</v>
      </c>
      <c r="AJ239" s="25" t="s">
        <v>87</v>
      </c>
      <c r="AK239" s="25">
        <v>16</v>
      </c>
      <c r="AN239" s="25">
        <v>0</v>
      </c>
      <c r="AO239" s="26">
        <f t="shared" si="22"/>
        <v>1</v>
      </c>
    </row>
    <row r="240" spans="1:41" ht="15" hidden="1" customHeight="1">
      <c r="A240" s="29" t="s">
        <v>137</v>
      </c>
      <c r="B240" s="25" t="s">
        <v>118</v>
      </c>
      <c r="C240" s="25" t="s">
        <v>43</v>
      </c>
      <c r="D240" s="31" t="s">
        <v>126</v>
      </c>
      <c r="E240" s="25" t="str">
        <f>LEFT(Table1[[#This Row],[TeamID]],FIND("/",Table1[[#This Row],[TeamID]])-1)</f>
        <v>Daniel</v>
      </c>
      <c r="F240" s="26">
        <f>Table1[[#This Row],[TC-G1-AS]]+Table1[[#This Row],[TC-G2-AS]]+Table1[[#This Row],[TC-G3-AS]]+Table1[[#This Row],[TC-G4-AS]]+Table1[[#This Row],[TC-G5-AS]]</f>
        <v>0</v>
      </c>
      <c r="L240" s="25" t="str">
        <f>SUBSTITUTE(Table1[[#This Row],[TeamID]],Table1[[#This Row],[Team Captain]]&amp;"/","")</f>
        <v>Art</v>
      </c>
      <c r="R240" s="26">
        <f>Table1[[#This Row],[P-G1-AS]]+Table1[[#This Row],[P-G2-AS]]+Table1[[#This Row],[P-G3-AS]]+Table1[[#This Row],[P-G4-AS]]+Table1[[#This Row],[P-G5-AS]]</f>
        <v>0</v>
      </c>
      <c r="S240" s="25">
        <v>39.11</v>
      </c>
      <c r="T240" s="25">
        <v>0</v>
      </c>
      <c r="W240" s="25">
        <v>34.950000000000003</v>
      </c>
      <c r="X240" s="25">
        <v>1</v>
      </c>
      <c r="Y240" s="25" t="s">
        <v>117</v>
      </c>
      <c r="Z240" s="25">
        <v>14</v>
      </c>
      <c r="AA240" s="26">
        <f t="shared" si="20"/>
        <v>37.03</v>
      </c>
      <c r="AB240" s="25">
        <v>1.1299999999999999</v>
      </c>
      <c r="AC240" s="25">
        <v>0</v>
      </c>
      <c r="AE240" s="25">
        <v>1.1100000000000001</v>
      </c>
      <c r="AF240" s="25">
        <v>1</v>
      </c>
      <c r="AG240" s="25" t="s">
        <v>89</v>
      </c>
      <c r="AH240" s="26">
        <f t="shared" si="21"/>
        <v>1.1200000000000001</v>
      </c>
      <c r="AI240" s="25">
        <v>23.08</v>
      </c>
      <c r="AJ240" s="25" t="s">
        <v>89</v>
      </c>
      <c r="AK240" s="25">
        <v>52</v>
      </c>
      <c r="AN240" s="25">
        <v>0</v>
      </c>
      <c r="AO240" s="26">
        <f t="shared" si="22"/>
        <v>2</v>
      </c>
    </row>
    <row r="241" spans="1:41" ht="15" hidden="1" customHeight="1">
      <c r="A241" s="29" t="s">
        <v>137</v>
      </c>
      <c r="B241" s="25" t="s">
        <v>118</v>
      </c>
      <c r="C241" s="25" t="s">
        <v>45</v>
      </c>
      <c r="D241" s="31" t="s">
        <v>120</v>
      </c>
      <c r="E241" s="25" t="str">
        <f>LEFT(Table1[[#This Row],[TeamID]],FIND("/",Table1[[#This Row],[TeamID]])-1)</f>
        <v>Mike A</v>
      </c>
      <c r="F241" s="26">
        <f>Table1[[#This Row],[TC-G1-AS]]+Table1[[#This Row],[TC-G2-AS]]+Table1[[#This Row],[TC-G3-AS]]+Table1[[#This Row],[TC-G4-AS]]+Table1[[#This Row],[TC-G5-AS]]</f>
        <v>1</v>
      </c>
      <c r="H241" s="25">
        <v>1</v>
      </c>
      <c r="L241" s="25" t="str">
        <f>SUBSTITUTE(Table1[[#This Row],[TeamID]],Table1[[#This Row],[Team Captain]]&amp;"/","")</f>
        <v>Tristan</v>
      </c>
      <c r="M241" s="25">
        <v>1</v>
      </c>
      <c r="O241" s="25">
        <v>1</v>
      </c>
      <c r="R241" s="26">
        <f>Table1[[#This Row],[P-G1-AS]]+Table1[[#This Row],[P-G2-AS]]+Table1[[#This Row],[P-G3-AS]]+Table1[[#This Row],[P-G4-AS]]+Table1[[#This Row],[P-G5-AS]]</f>
        <v>2</v>
      </c>
      <c r="S241" s="25">
        <v>51.83</v>
      </c>
      <c r="T241" s="25">
        <v>1</v>
      </c>
      <c r="U241" s="25" t="s">
        <v>121</v>
      </c>
      <c r="V241" s="25">
        <v>11</v>
      </c>
      <c r="W241" s="25">
        <v>34.36</v>
      </c>
      <c r="X241" s="25">
        <v>0</v>
      </c>
      <c r="AA241" s="26">
        <f t="shared" si="20"/>
        <v>43.094999999999999</v>
      </c>
      <c r="AB241" s="25">
        <v>1.44</v>
      </c>
      <c r="AC241" s="25">
        <v>1</v>
      </c>
      <c r="AD241" s="25" t="s">
        <v>57</v>
      </c>
      <c r="AE241" s="25">
        <v>0.88</v>
      </c>
      <c r="AF241" s="25">
        <v>0</v>
      </c>
      <c r="AH241" s="26">
        <f t="shared" si="21"/>
        <v>1.1599999999999999</v>
      </c>
      <c r="AI241" s="25">
        <v>24.41</v>
      </c>
      <c r="AJ241" s="25" t="s">
        <v>57</v>
      </c>
      <c r="AK241" s="25">
        <v>18</v>
      </c>
      <c r="AL241" s="25" t="s">
        <v>57</v>
      </c>
      <c r="AM241" s="25">
        <v>16</v>
      </c>
      <c r="AN241" s="25">
        <v>1</v>
      </c>
      <c r="AO241" s="26">
        <f t="shared" si="22"/>
        <v>3</v>
      </c>
    </row>
    <row r="242" spans="1:41" ht="15" customHeight="1">
      <c r="A242" s="25" t="s">
        <v>41</v>
      </c>
      <c r="B242" s="25" t="s">
        <v>138</v>
      </c>
      <c r="C242" s="25" t="s">
        <v>43</v>
      </c>
      <c r="D242" s="25" t="s">
        <v>139</v>
      </c>
      <c r="E242" s="25" t="str">
        <f>LEFT(Table1[[#This Row],[TeamID]],FIND("/",Table1[[#This Row],[TeamID]])-1)</f>
        <v>Mike C</v>
      </c>
      <c r="F242" s="26">
        <f>Table1[[#This Row],[TC-G1-AS]]+Table1[[#This Row],[TC-G2-AS]]+Table1[[#This Row],[TC-G3-AS]]+Table1[[#This Row],[TC-G4-AS]]+Table1[[#This Row],[TC-G5-AS]]</f>
        <v>0</v>
      </c>
      <c r="L242" s="25" t="str">
        <f>SUBSTITUTE(Table1[[#This Row],[TeamID]],Table1[[#This Row],[Team Captain]]&amp;"/","")</f>
        <v>Tristan</v>
      </c>
      <c r="P242" s="25">
        <v>1</v>
      </c>
      <c r="R242" s="26">
        <f>Table1[[#This Row],[P-G1-AS]]+Table1[[#This Row],[P-G2-AS]]+Table1[[#This Row],[P-G3-AS]]+Table1[[#This Row],[P-G4-AS]]+Table1[[#This Row],[P-G5-AS]]</f>
        <v>1</v>
      </c>
      <c r="S242" s="25">
        <v>46.97</v>
      </c>
      <c r="T242" s="25">
        <v>1</v>
      </c>
      <c r="U242" s="25" t="s">
        <v>84</v>
      </c>
      <c r="V242" s="25">
        <v>8</v>
      </c>
      <c r="W242" s="25">
        <v>37</v>
      </c>
      <c r="X242" s="25">
        <v>0</v>
      </c>
      <c r="AA242" s="26">
        <f>(S242+W242)/2</f>
        <v>41.984999999999999</v>
      </c>
      <c r="AB242" s="25">
        <v>1.32</v>
      </c>
      <c r="AC242" s="25">
        <v>0</v>
      </c>
      <c r="AE242" s="25">
        <v>1.62</v>
      </c>
      <c r="AF242" s="25">
        <v>0</v>
      </c>
      <c r="AH242" s="26">
        <f>(AB242+AE242)/2</f>
        <v>1.4700000000000002</v>
      </c>
      <c r="AI242" s="25">
        <v>31.44</v>
      </c>
      <c r="AJ242" s="25" t="s">
        <v>84</v>
      </c>
      <c r="AK242" s="25">
        <v>12</v>
      </c>
      <c r="AN242" s="25">
        <v>0</v>
      </c>
      <c r="AO242" s="26">
        <f>T242+AC242+AN242+AF242+X242</f>
        <v>1</v>
      </c>
    </row>
    <row r="243" spans="1:41" ht="15" customHeight="1">
      <c r="A243" s="25" t="s">
        <v>41</v>
      </c>
      <c r="B243" s="25" t="s">
        <v>138</v>
      </c>
      <c r="C243" s="25" t="s">
        <v>45</v>
      </c>
      <c r="D243" s="25" t="s">
        <v>140</v>
      </c>
      <c r="E243" s="25" t="str">
        <f>LEFT(Table1[[#This Row],[TeamID]],FIND("/",Table1[[#This Row],[TeamID]])-1)</f>
        <v>Todd</v>
      </c>
      <c r="F243" s="26">
        <f>Table1[[#This Row],[TC-G1-AS]]+Table1[[#This Row],[TC-G2-AS]]+Table1[[#This Row],[TC-G3-AS]]+Table1[[#This Row],[TC-G4-AS]]+Table1[[#This Row],[TC-G5-AS]]</f>
        <v>3</v>
      </c>
      <c r="H243" s="25">
        <v>1</v>
      </c>
      <c r="I243" s="25">
        <v>1</v>
      </c>
      <c r="J243" s="25">
        <v>1</v>
      </c>
      <c r="L243" s="25" t="str">
        <f>SUBSTITUTE(Table1[[#This Row],[TeamID]],Table1[[#This Row],[Team Captain]]&amp;"/","")</f>
        <v>Tayven</v>
      </c>
      <c r="R243" s="26">
        <f>Table1[[#This Row],[P-G1-AS]]+Table1[[#This Row],[P-G2-AS]]+Table1[[#This Row],[P-G3-AS]]+Table1[[#This Row],[P-G4-AS]]+Table1[[#This Row],[P-G5-AS]]</f>
        <v>0</v>
      </c>
      <c r="S243" s="25">
        <v>28.37</v>
      </c>
      <c r="T243" s="25">
        <v>0</v>
      </c>
      <c r="W243" s="25">
        <v>40.619999999999997</v>
      </c>
      <c r="X243" s="25">
        <v>1</v>
      </c>
      <c r="Y243" s="25" t="s">
        <v>86</v>
      </c>
      <c r="Z243" s="25">
        <v>18</v>
      </c>
      <c r="AA243" s="26">
        <f t="shared" ref="AA243:AA274" si="23">(S243+W243)/2</f>
        <v>34.494999999999997</v>
      </c>
      <c r="AB243" s="25">
        <v>1.35</v>
      </c>
      <c r="AC243" s="25">
        <v>1</v>
      </c>
      <c r="AD243" s="25" t="s">
        <v>92</v>
      </c>
      <c r="AE243" s="25">
        <v>1.85</v>
      </c>
      <c r="AF243" s="25">
        <v>1</v>
      </c>
      <c r="AG243" s="25" t="s">
        <v>92</v>
      </c>
      <c r="AH243" s="26">
        <f t="shared" ref="AH243:AH274" si="24">(AB243+AE243)/2</f>
        <v>1.6</v>
      </c>
      <c r="AI243" s="25">
        <v>34.729999999999997</v>
      </c>
      <c r="AJ243" s="25" t="s">
        <v>92</v>
      </c>
      <c r="AK243" s="25">
        <v>52</v>
      </c>
      <c r="AL243" s="25" t="s">
        <v>92</v>
      </c>
      <c r="AM243" s="25">
        <v>30</v>
      </c>
      <c r="AN243" s="25">
        <v>1</v>
      </c>
      <c r="AO243" s="26">
        <f t="shared" ref="AO243:AO274" si="25">T243+AC243+AN243+AF243+X243</f>
        <v>4</v>
      </c>
    </row>
    <row r="244" spans="1:41" ht="15" customHeight="1">
      <c r="A244" s="25" t="s">
        <v>47</v>
      </c>
      <c r="B244" s="25" t="s">
        <v>138</v>
      </c>
      <c r="C244" s="25" t="s">
        <v>43</v>
      </c>
      <c r="D244" s="25" t="s">
        <v>141</v>
      </c>
      <c r="E244" s="25" t="str">
        <f>LEFT(Table1[[#This Row],[TeamID]],FIND("/",Table1[[#This Row],[TeamID]])-1)</f>
        <v>Kevin</v>
      </c>
      <c r="F244" s="26">
        <f>Table1[[#This Row],[TC-G1-AS]]+Table1[[#This Row],[TC-G2-AS]]+Table1[[#This Row],[TC-G3-AS]]+Table1[[#This Row],[TC-G4-AS]]+Table1[[#This Row],[TC-G5-AS]]</f>
        <v>2</v>
      </c>
      <c r="H244" s="25">
        <v>1</v>
      </c>
      <c r="J244" s="25">
        <v>1</v>
      </c>
      <c r="L244" s="25" t="str">
        <f>SUBSTITUTE(Table1[[#This Row],[TeamID]],Table1[[#This Row],[Team Captain]]&amp;"/","")</f>
        <v>Mike H</v>
      </c>
      <c r="Q244" s="25">
        <v>1</v>
      </c>
      <c r="R244" s="26">
        <f>Table1[[#This Row],[P-G1-AS]]+Table1[[#This Row],[P-G2-AS]]+Table1[[#This Row],[P-G3-AS]]+Table1[[#This Row],[P-G4-AS]]+Table1[[#This Row],[P-G5-AS]]</f>
        <v>1</v>
      </c>
      <c r="S244" s="25">
        <v>44.21</v>
      </c>
      <c r="T244" s="25">
        <v>1</v>
      </c>
      <c r="U244" s="25" t="s">
        <v>91</v>
      </c>
      <c r="V244" s="25">
        <v>8</v>
      </c>
      <c r="W244" s="25">
        <v>22.12</v>
      </c>
      <c r="X244" s="25">
        <v>0</v>
      </c>
      <c r="AA244" s="26">
        <f t="shared" si="23"/>
        <v>33.164999999999999</v>
      </c>
      <c r="AB244" s="25">
        <v>1.42</v>
      </c>
      <c r="AC244" s="25">
        <v>1</v>
      </c>
      <c r="AD244" s="25" t="s">
        <v>91</v>
      </c>
      <c r="AE244" s="25">
        <v>1.08</v>
      </c>
      <c r="AF244" s="25">
        <v>0</v>
      </c>
      <c r="AH244" s="26">
        <f t="shared" si="24"/>
        <v>1.25</v>
      </c>
      <c r="AI244" s="25">
        <v>30.01</v>
      </c>
      <c r="AJ244" s="25" t="s">
        <v>55</v>
      </c>
      <c r="AK244" s="25">
        <v>53</v>
      </c>
      <c r="AL244" s="25" t="s">
        <v>91</v>
      </c>
      <c r="AM244" s="25">
        <v>8</v>
      </c>
      <c r="AN244" s="25">
        <v>1</v>
      </c>
      <c r="AO244" s="26">
        <f t="shared" si="25"/>
        <v>3</v>
      </c>
    </row>
    <row r="245" spans="1:41" ht="15" customHeight="1">
      <c r="A245" s="25" t="s">
        <v>47</v>
      </c>
      <c r="B245" s="25" t="s">
        <v>138</v>
      </c>
      <c r="C245" s="25" t="s">
        <v>45</v>
      </c>
      <c r="D245" s="25" t="s">
        <v>142</v>
      </c>
      <c r="E245" s="25" t="str">
        <f>LEFT(Table1[[#This Row],[TeamID]],FIND("/",Table1[[#This Row],[TeamID]])-1)</f>
        <v>Clarence</v>
      </c>
      <c r="F245" s="26">
        <f>Table1[[#This Row],[TC-G1-AS]]+Table1[[#This Row],[TC-G2-AS]]+Table1[[#This Row],[TC-G3-AS]]+Table1[[#This Row],[TC-G4-AS]]+Table1[[#This Row],[TC-G5-AS]]</f>
        <v>5</v>
      </c>
      <c r="G245" s="25">
        <v>2</v>
      </c>
      <c r="H245" s="25">
        <v>2</v>
      </c>
      <c r="K245" s="25">
        <v>1</v>
      </c>
      <c r="L245" s="25" t="str">
        <f>SUBSTITUTE(Table1[[#This Row],[TeamID]],Table1[[#This Row],[Team Captain]]&amp;"/","")</f>
        <v>Troy</v>
      </c>
      <c r="R245" s="26">
        <f>Table1[[#This Row],[P-G1-AS]]+Table1[[#This Row],[P-G2-AS]]+Table1[[#This Row],[P-G3-AS]]+Table1[[#This Row],[P-G4-AS]]+Table1[[#This Row],[P-G5-AS]]</f>
        <v>0</v>
      </c>
      <c r="S245" s="25">
        <v>42.64</v>
      </c>
      <c r="T245" s="25">
        <v>0</v>
      </c>
      <c r="W245" s="25">
        <v>23.12</v>
      </c>
      <c r="X245" s="25">
        <v>1</v>
      </c>
      <c r="Y245" s="25" t="s">
        <v>87</v>
      </c>
      <c r="Z245" s="25">
        <v>4</v>
      </c>
      <c r="AA245" s="26">
        <f t="shared" si="23"/>
        <v>32.880000000000003</v>
      </c>
      <c r="AB245" s="25">
        <v>1</v>
      </c>
      <c r="AC245" s="25">
        <v>0</v>
      </c>
      <c r="AE245" s="25">
        <v>1.19</v>
      </c>
      <c r="AF245" s="25">
        <v>1</v>
      </c>
      <c r="AG245" s="25" t="s">
        <v>129</v>
      </c>
      <c r="AH245" s="26">
        <f t="shared" si="24"/>
        <v>1.095</v>
      </c>
      <c r="AI245" s="25">
        <v>32.11</v>
      </c>
      <c r="AJ245" s="25" t="s">
        <v>129</v>
      </c>
      <c r="AK245" s="25">
        <v>49</v>
      </c>
      <c r="AN245" s="25">
        <v>0</v>
      </c>
      <c r="AO245" s="26">
        <f t="shared" si="25"/>
        <v>2</v>
      </c>
    </row>
    <row r="246" spans="1:41" ht="15" customHeight="1">
      <c r="A246" s="25" t="s">
        <v>50</v>
      </c>
      <c r="B246" s="25" t="s">
        <v>138</v>
      </c>
      <c r="C246" s="25" t="s">
        <v>43</v>
      </c>
      <c r="D246" s="25" t="s">
        <v>143</v>
      </c>
      <c r="E246" s="25" t="str">
        <f>LEFT(Table1[[#This Row],[TeamID]],FIND("/",Table1[[#This Row],[TeamID]])-1)</f>
        <v>Daniel</v>
      </c>
      <c r="F246" s="26">
        <f>Table1[[#This Row],[TC-G1-AS]]+Table1[[#This Row],[TC-G2-AS]]+Table1[[#This Row],[TC-G3-AS]]+Table1[[#This Row],[TC-G4-AS]]+Table1[[#This Row],[TC-G5-AS]]</f>
        <v>2</v>
      </c>
      <c r="G246" s="25">
        <v>1</v>
      </c>
      <c r="I246" s="25">
        <v>1</v>
      </c>
      <c r="L246" s="25" t="str">
        <f>SUBSTITUTE(Table1[[#This Row],[TeamID]],Table1[[#This Row],[Team Captain]]&amp;"/","")</f>
        <v>Mark</v>
      </c>
      <c r="M246" s="25">
        <v>1</v>
      </c>
      <c r="N246" s="25">
        <v>1</v>
      </c>
      <c r="R246" s="26">
        <f>Table1[[#This Row],[P-G1-AS]]+Table1[[#This Row],[P-G2-AS]]+Table1[[#This Row],[P-G3-AS]]+Table1[[#This Row],[P-G4-AS]]+Table1[[#This Row],[P-G5-AS]]</f>
        <v>2</v>
      </c>
      <c r="S246" s="25">
        <v>35.54</v>
      </c>
      <c r="T246" s="25">
        <v>1</v>
      </c>
      <c r="U246" s="25" t="s">
        <v>89</v>
      </c>
      <c r="V246" s="25">
        <v>4</v>
      </c>
      <c r="W246" s="25">
        <v>39.549999999999997</v>
      </c>
      <c r="X246" s="25">
        <v>1</v>
      </c>
      <c r="Y246" s="25" t="s">
        <v>102</v>
      </c>
      <c r="Z246" s="25">
        <v>8</v>
      </c>
      <c r="AA246" s="26">
        <f t="shared" si="23"/>
        <v>37.545000000000002</v>
      </c>
      <c r="AB246" s="25">
        <v>1.17</v>
      </c>
      <c r="AC246" s="25">
        <v>1</v>
      </c>
      <c r="AD246" s="25" t="s">
        <v>89</v>
      </c>
      <c r="AE246" s="25">
        <v>1.31</v>
      </c>
      <c r="AF246" s="25">
        <v>0</v>
      </c>
      <c r="AH246" s="26">
        <f t="shared" si="24"/>
        <v>1.24</v>
      </c>
      <c r="AI246" s="25">
        <v>32.25</v>
      </c>
      <c r="AJ246" s="25" t="s">
        <v>89</v>
      </c>
      <c r="AK246" s="25">
        <v>60</v>
      </c>
      <c r="AL246" s="25" t="s">
        <v>102</v>
      </c>
      <c r="AM246" s="25">
        <v>16</v>
      </c>
      <c r="AN246" s="25">
        <v>1</v>
      </c>
      <c r="AO246" s="26">
        <f t="shared" si="25"/>
        <v>4</v>
      </c>
    </row>
    <row r="247" spans="1:41" ht="15" customHeight="1">
      <c r="A247" s="25" t="s">
        <v>50</v>
      </c>
      <c r="B247" s="25" t="s">
        <v>138</v>
      </c>
      <c r="C247" s="25" t="s">
        <v>45</v>
      </c>
      <c r="D247" s="25" t="s">
        <v>144</v>
      </c>
      <c r="E247" s="25" t="str">
        <f>LEFT(Table1[[#This Row],[TeamID]],FIND("/",Table1[[#This Row],[TeamID]])-1)</f>
        <v>Mike A</v>
      </c>
      <c r="F247" s="26">
        <f>Table1[[#This Row],[TC-G1-AS]]+Table1[[#This Row],[TC-G2-AS]]+Table1[[#This Row],[TC-G3-AS]]+Table1[[#This Row],[TC-G4-AS]]+Table1[[#This Row],[TC-G5-AS]]</f>
        <v>0</v>
      </c>
      <c r="L247" s="25" t="str">
        <f>SUBSTITUTE(Table1[[#This Row],[TeamID]],Table1[[#This Row],[Team Captain]]&amp;"/","")</f>
        <v>Jason</v>
      </c>
      <c r="N247" s="25">
        <v>1</v>
      </c>
      <c r="R247" s="26">
        <f>Table1[[#This Row],[P-G1-AS]]+Table1[[#This Row],[P-G2-AS]]+Table1[[#This Row],[P-G3-AS]]+Table1[[#This Row],[P-G4-AS]]+Table1[[#This Row],[P-G5-AS]]</f>
        <v>1</v>
      </c>
      <c r="S247" s="25">
        <v>41.08</v>
      </c>
      <c r="T247" s="25">
        <v>0</v>
      </c>
      <c r="W247" s="25">
        <v>37.619999999999997</v>
      </c>
      <c r="X247" s="25">
        <v>0</v>
      </c>
      <c r="AA247" s="26">
        <f t="shared" si="23"/>
        <v>39.349999999999994</v>
      </c>
      <c r="AB247" s="25">
        <v>1</v>
      </c>
      <c r="AC247" s="25">
        <v>0</v>
      </c>
      <c r="AE247" s="25">
        <v>1.59</v>
      </c>
      <c r="AF247" s="25">
        <v>1</v>
      </c>
      <c r="AG247" s="25" t="s">
        <v>57</v>
      </c>
      <c r="AH247" s="26">
        <f t="shared" si="24"/>
        <v>1.2949999999999999</v>
      </c>
      <c r="AI247" s="25">
        <v>8.6999999999999993</v>
      </c>
      <c r="AJ247" s="25" t="s">
        <v>99</v>
      </c>
      <c r="AK247" s="25">
        <v>37</v>
      </c>
      <c r="AN247" s="25">
        <v>0</v>
      </c>
      <c r="AO247" s="26">
        <f t="shared" si="25"/>
        <v>1</v>
      </c>
    </row>
    <row r="248" spans="1:41" ht="15" customHeight="1">
      <c r="A248" s="25" t="s">
        <v>53</v>
      </c>
      <c r="B248" s="25" t="s">
        <v>138</v>
      </c>
      <c r="C248" s="25" t="s">
        <v>43</v>
      </c>
      <c r="D248" s="25" t="s">
        <v>145</v>
      </c>
      <c r="E248" s="25" t="str">
        <f>LEFT(Table1[[#This Row],[TeamID]],FIND("/",Table1[[#This Row],[TeamID]])-1)</f>
        <v>Brian</v>
      </c>
      <c r="F248" s="26">
        <f>Table1[[#This Row],[TC-G1-AS]]+Table1[[#This Row],[TC-G2-AS]]+Table1[[#This Row],[TC-G3-AS]]+Table1[[#This Row],[TC-G4-AS]]+Table1[[#This Row],[TC-G5-AS]]</f>
        <v>0</v>
      </c>
      <c r="L248" s="25" t="str">
        <f>SUBSTITUTE(Table1[[#This Row],[TeamID]],Table1[[#This Row],[Team Captain]]&amp;"/","")</f>
        <v>David</v>
      </c>
      <c r="R248" s="26">
        <f>Table1[[#This Row],[P-G1-AS]]+Table1[[#This Row],[P-G2-AS]]+Table1[[#This Row],[P-G3-AS]]+Table1[[#This Row],[P-G4-AS]]+Table1[[#This Row],[P-G5-AS]]</f>
        <v>0</v>
      </c>
      <c r="S248" s="25"/>
      <c r="AA248" s="26">
        <f t="shared" si="23"/>
        <v>0</v>
      </c>
      <c r="AH248" s="26">
        <f t="shared" si="24"/>
        <v>0</v>
      </c>
      <c r="AO248" s="26">
        <f t="shared" si="25"/>
        <v>0</v>
      </c>
    </row>
    <row r="249" spans="1:41" ht="15" customHeight="1">
      <c r="A249" s="25" t="s">
        <v>53</v>
      </c>
      <c r="B249" s="25" t="s">
        <v>138</v>
      </c>
      <c r="C249" s="25" t="s">
        <v>45</v>
      </c>
      <c r="D249" s="25" t="s">
        <v>146</v>
      </c>
      <c r="E249" s="25" t="str">
        <f>LEFT(Table1[[#This Row],[TeamID]],FIND("/",Table1[[#This Row],[TeamID]])-1)</f>
        <v>Paul</v>
      </c>
      <c r="F249" s="26">
        <f>Table1[[#This Row],[TC-G1-AS]]+Table1[[#This Row],[TC-G2-AS]]+Table1[[#This Row],[TC-G3-AS]]+Table1[[#This Row],[TC-G4-AS]]+Table1[[#This Row],[TC-G5-AS]]</f>
        <v>0</v>
      </c>
      <c r="L249" s="25" t="str">
        <f>SUBSTITUTE(Table1[[#This Row],[TeamID]],Table1[[#This Row],[Team Captain]]&amp;"/","")</f>
        <v>Neil</v>
      </c>
      <c r="R249" s="26">
        <f>Table1[[#This Row],[P-G1-AS]]+Table1[[#This Row],[P-G2-AS]]+Table1[[#This Row],[P-G3-AS]]+Table1[[#This Row],[P-G4-AS]]+Table1[[#This Row],[P-G5-AS]]</f>
        <v>0</v>
      </c>
      <c r="S249" s="25"/>
      <c r="AA249" s="26">
        <f t="shared" si="23"/>
        <v>0</v>
      </c>
      <c r="AH249" s="26">
        <f t="shared" si="24"/>
        <v>0</v>
      </c>
      <c r="AO249" s="26">
        <f t="shared" si="25"/>
        <v>0</v>
      </c>
    </row>
    <row r="250" spans="1:41" ht="15" customHeight="1">
      <c r="A250" s="25" t="s">
        <v>58</v>
      </c>
      <c r="B250" s="25" t="s">
        <v>138</v>
      </c>
      <c r="C250" s="25" t="s">
        <v>43</v>
      </c>
      <c r="D250" s="25" t="s">
        <v>145</v>
      </c>
      <c r="E250" s="25" t="str">
        <f>LEFT(Table1[[#This Row],[TeamID]],FIND("/",Table1[[#This Row],[TeamID]])-1)</f>
        <v>Brian</v>
      </c>
      <c r="F250" s="26">
        <f>Table1[[#This Row],[TC-G1-AS]]+Table1[[#This Row],[TC-G2-AS]]+Table1[[#This Row],[TC-G3-AS]]+Table1[[#This Row],[TC-G4-AS]]+Table1[[#This Row],[TC-G5-AS]]</f>
        <v>1</v>
      </c>
      <c r="I250" s="25">
        <v>1</v>
      </c>
      <c r="L250" s="25" t="str">
        <f>SUBSTITUTE(Table1[[#This Row],[TeamID]],Table1[[#This Row],[Team Captain]]&amp;"/","")</f>
        <v>David</v>
      </c>
      <c r="R250" s="26">
        <f>Table1[[#This Row],[P-G1-AS]]+Table1[[#This Row],[P-G2-AS]]+Table1[[#This Row],[P-G3-AS]]+Table1[[#This Row],[P-G4-AS]]+Table1[[#This Row],[P-G5-AS]]</f>
        <v>0</v>
      </c>
      <c r="S250" s="25">
        <v>37.18</v>
      </c>
      <c r="T250" s="25">
        <v>0</v>
      </c>
      <c r="W250" s="25">
        <v>29.35</v>
      </c>
      <c r="X250" s="25">
        <v>0</v>
      </c>
      <c r="AA250" s="26">
        <f t="shared" si="23"/>
        <v>33.265000000000001</v>
      </c>
      <c r="AB250" s="25">
        <v>1.65</v>
      </c>
      <c r="AC250" s="25">
        <v>0</v>
      </c>
      <c r="AE250" s="25">
        <v>0.94</v>
      </c>
      <c r="AF250" s="25">
        <v>0</v>
      </c>
      <c r="AH250" s="26">
        <f t="shared" si="24"/>
        <v>1.2949999999999999</v>
      </c>
      <c r="AI250" s="25">
        <v>16.420000000000002</v>
      </c>
      <c r="AJ250" s="25" t="s">
        <v>113</v>
      </c>
      <c r="AK250" s="25">
        <v>22</v>
      </c>
      <c r="AL250" s="25" t="s">
        <v>96</v>
      </c>
      <c r="AM250" s="25">
        <v>2</v>
      </c>
      <c r="AN250" s="25">
        <v>1</v>
      </c>
      <c r="AO250" s="26">
        <f t="shared" si="25"/>
        <v>1</v>
      </c>
    </row>
    <row r="251" spans="1:41" ht="15" customHeight="1">
      <c r="A251" s="25" t="s">
        <v>58</v>
      </c>
      <c r="B251" s="25" t="s">
        <v>138</v>
      </c>
      <c r="C251" s="25" t="s">
        <v>45</v>
      </c>
      <c r="D251" s="25" t="s">
        <v>143</v>
      </c>
      <c r="E251" s="25" t="str">
        <f>LEFT(Table1[[#This Row],[TeamID]],FIND("/",Table1[[#This Row],[TeamID]])-1)</f>
        <v>Daniel</v>
      </c>
      <c r="F251" s="26">
        <f>Table1[[#This Row],[TC-G1-AS]]+Table1[[#This Row],[TC-G2-AS]]+Table1[[#This Row],[TC-G3-AS]]+Table1[[#This Row],[TC-G4-AS]]+Table1[[#This Row],[TC-G5-AS]]</f>
        <v>1</v>
      </c>
      <c r="I251" s="25">
        <v>1</v>
      </c>
      <c r="L251" s="25" t="str">
        <f>SUBSTITUTE(Table1[[#This Row],[TeamID]],Table1[[#This Row],[Team Captain]]&amp;"/","")</f>
        <v>Mark</v>
      </c>
      <c r="Q251" s="25">
        <v>1</v>
      </c>
      <c r="R251" s="26">
        <f>Table1[[#This Row],[P-G1-AS]]+Table1[[#This Row],[P-G2-AS]]+Table1[[#This Row],[P-G3-AS]]+Table1[[#This Row],[P-G4-AS]]+Table1[[#This Row],[P-G5-AS]]</f>
        <v>1</v>
      </c>
      <c r="S251" s="25">
        <v>48.48</v>
      </c>
      <c r="T251" s="25">
        <v>1</v>
      </c>
      <c r="U251" s="25" t="s">
        <v>89</v>
      </c>
      <c r="V251" s="25">
        <v>36</v>
      </c>
      <c r="W251" s="25">
        <v>27.83</v>
      </c>
      <c r="X251" s="25">
        <v>1</v>
      </c>
      <c r="Y251" s="25" t="s">
        <v>89</v>
      </c>
      <c r="Z251" s="25">
        <v>16</v>
      </c>
      <c r="AA251" s="26">
        <f t="shared" si="23"/>
        <v>38.155000000000001</v>
      </c>
      <c r="AB251" s="25">
        <v>1.9</v>
      </c>
      <c r="AC251" s="25">
        <v>1</v>
      </c>
      <c r="AD251" s="25" t="s">
        <v>89</v>
      </c>
      <c r="AE251" s="25">
        <v>1.56</v>
      </c>
      <c r="AF251" s="25">
        <v>1</v>
      </c>
      <c r="AG251" s="25" t="s">
        <v>102</v>
      </c>
      <c r="AH251" s="26">
        <f t="shared" si="24"/>
        <v>1.73</v>
      </c>
      <c r="AI251" s="25">
        <v>16.5</v>
      </c>
      <c r="AJ251" s="25" t="s">
        <v>89</v>
      </c>
      <c r="AK251" s="25">
        <v>22</v>
      </c>
      <c r="AN251" s="25">
        <v>0</v>
      </c>
      <c r="AO251" s="26">
        <f t="shared" si="25"/>
        <v>4</v>
      </c>
    </row>
    <row r="252" spans="1:41" ht="15" customHeight="1">
      <c r="A252" s="25" t="s">
        <v>59</v>
      </c>
      <c r="B252" s="25" t="s">
        <v>138</v>
      </c>
      <c r="C252" s="25" t="s">
        <v>43</v>
      </c>
      <c r="D252" s="25" t="s">
        <v>146</v>
      </c>
      <c r="E252" s="25" t="str">
        <f>LEFT(Table1[[#This Row],[TeamID]],FIND("/",Table1[[#This Row],[TeamID]])-1)</f>
        <v>Paul</v>
      </c>
      <c r="F252" s="26">
        <f>Table1[[#This Row],[TC-G1-AS]]+Table1[[#This Row],[TC-G2-AS]]+Table1[[#This Row],[TC-G3-AS]]+Table1[[#This Row],[TC-G4-AS]]+Table1[[#This Row],[TC-G5-AS]]</f>
        <v>1</v>
      </c>
      <c r="J252" s="25">
        <v>1</v>
      </c>
      <c r="L252" s="25" t="str">
        <f>SUBSTITUTE(Table1[[#This Row],[TeamID]],Table1[[#This Row],[Team Captain]]&amp;"/","")</f>
        <v>Neil</v>
      </c>
      <c r="M252" s="25">
        <v>1</v>
      </c>
      <c r="R252" s="26">
        <f>Table1[[#This Row],[P-G1-AS]]+Table1[[#This Row],[P-G2-AS]]+Table1[[#This Row],[P-G3-AS]]+Table1[[#This Row],[P-G4-AS]]+Table1[[#This Row],[P-G5-AS]]</f>
        <v>1</v>
      </c>
      <c r="S252" s="25">
        <v>41.25</v>
      </c>
      <c r="T252" s="25">
        <v>0</v>
      </c>
      <c r="W252" s="25">
        <v>36.79</v>
      </c>
      <c r="X252" s="25">
        <v>1</v>
      </c>
      <c r="Y252" s="25" t="s">
        <v>94</v>
      </c>
      <c r="Z252" s="25">
        <v>8</v>
      </c>
      <c r="AA252" s="26">
        <f t="shared" si="23"/>
        <v>39.019999999999996</v>
      </c>
      <c r="AB252" s="25">
        <v>1.38</v>
      </c>
      <c r="AC252" s="25">
        <v>0</v>
      </c>
      <c r="AE252" s="25">
        <v>1.48</v>
      </c>
      <c r="AF252" s="25">
        <v>0</v>
      </c>
      <c r="AH252" s="26">
        <f t="shared" si="24"/>
        <v>1.43</v>
      </c>
      <c r="AI252" s="25">
        <v>1E-4</v>
      </c>
      <c r="AJ252" s="25" t="s">
        <v>146</v>
      </c>
      <c r="AN252" s="25">
        <v>0</v>
      </c>
      <c r="AO252" s="26">
        <f t="shared" si="25"/>
        <v>1</v>
      </c>
    </row>
    <row r="253" spans="1:41" ht="15" customHeight="1">
      <c r="A253" s="25" t="s">
        <v>59</v>
      </c>
      <c r="B253" s="25" t="s">
        <v>138</v>
      </c>
      <c r="C253" s="25" t="s">
        <v>45</v>
      </c>
      <c r="D253" s="25" t="s">
        <v>144</v>
      </c>
      <c r="E253" s="25" t="str">
        <f>LEFT(Table1[[#This Row],[TeamID]],FIND("/",Table1[[#This Row],[TeamID]])-1)</f>
        <v>Mike A</v>
      </c>
      <c r="F253" s="26">
        <f>Table1[[#This Row],[TC-G1-AS]]+Table1[[#This Row],[TC-G2-AS]]+Table1[[#This Row],[TC-G3-AS]]+Table1[[#This Row],[TC-G4-AS]]+Table1[[#This Row],[TC-G5-AS]]</f>
        <v>2</v>
      </c>
      <c r="K253" s="25">
        <v>2</v>
      </c>
      <c r="L253" s="25" t="str">
        <f>SUBSTITUTE(Table1[[#This Row],[TeamID]],Table1[[#This Row],[Team Captain]]&amp;"/","")</f>
        <v>Jason</v>
      </c>
      <c r="R253" s="26">
        <f>Table1[[#This Row],[P-G1-AS]]+Table1[[#This Row],[P-G2-AS]]+Table1[[#This Row],[P-G3-AS]]+Table1[[#This Row],[P-G4-AS]]+Table1[[#This Row],[P-G5-AS]]</f>
        <v>0</v>
      </c>
      <c r="S253" s="25">
        <v>38.54</v>
      </c>
      <c r="T253" s="25">
        <v>1</v>
      </c>
      <c r="U253" s="25" t="s">
        <v>99</v>
      </c>
      <c r="V253" s="25">
        <v>26</v>
      </c>
      <c r="W253" s="25">
        <v>37.46</v>
      </c>
      <c r="X253" s="25">
        <v>0</v>
      </c>
      <c r="AA253" s="26">
        <f t="shared" si="23"/>
        <v>38</v>
      </c>
      <c r="AB253" s="25">
        <v>1.75</v>
      </c>
      <c r="AC253" s="25">
        <v>1</v>
      </c>
      <c r="AD253" s="25" t="s">
        <v>99</v>
      </c>
      <c r="AE253" s="25">
        <v>1.64</v>
      </c>
      <c r="AF253" s="25">
        <v>1</v>
      </c>
      <c r="AG253" s="25" t="s">
        <v>57</v>
      </c>
      <c r="AH253" s="26">
        <f t="shared" si="24"/>
        <v>1.6949999999999998</v>
      </c>
      <c r="AI253" s="25">
        <v>36.119999999999997</v>
      </c>
      <c r="AJ253" s="25" t="s">
        <v>57</v>
      </c>
      <c r="AK253" s="25">
        <v>100</v>
      </c>
      <c r="AL253" s="25" t="s">
        <v>57</v>
      </c>
      <c r="AM253" s="25">
        <v>14</v>
      </c>
      <c r="AN253" s="25">
        <v>1</v>
      </c>
      <c r="AO253" s="26">
        <f t="shared" si="25"/>
        <v>4</v>
      </c>
    </row>
    <row r="254" spans="1:41" ht="15" customHeight="1">
      <c r="A254" s="25" t="s">
        <v>60</v>
      </c>
      <c r="B254" s="25" t="s">
        <v>138</v>
      </c>
      <c r="C254" s="25" t="s">
        <v>43</v>
      </c>
      <c r="D254" s="25" t="s">
        <v>141</v>
      </c>
      <c r="E254" s="25" t="str">
        <f>LEFT(Table1[[#This Row],[TeamID]],FIND("/",Table1[[#This Row],[TeamID]])-1)</f>
        <v>Kevin</v>
      </c>
      <c r="F254" s="26">
        <f>Table1[[#This Row],[TC-G1-AS]]+Table1[[#This Row],[TC-G2-AS]]+Table1[[#This Row],[TC-G3-AS]]+Table1[[#This Row],[TC-G4-AS]]+Table1[[#This Row],[TC-G5-AS]]</f>
        <v>2</v>
      </c>
      <c r="J254" s="25">
        <v>1</v>
      </c>
      <c r="K254" s="25">
        <v>1</v>
      </c>
      <c r="L254" s="25" t="str">
        <f>SUBSTITUTE(Table1[[#This Row],[TeamID]],Table1[[#This Row],[Team Captain]]&amp;"/","")</f>
        <v>Mike H</v>
      </c>
      <c r="R254" s="26">
        <f>Table1[[#This Row],[P-G1-AS]]+Table1[[#This Row],[P-G2-AS]]+Table1[[#This Row],[P-G3-AS]]+Table1[[#This Row],[P-G4-AS]]+Table1[[#This Row],[P-G5-AS]]</f>
        <v>0</v>
      </c>
      <c r="S254" s="25">
        <v>34.950000000000003</v>
      </c>
      <c r="T254" s="25">
        <v>1</v>
      </c>
      <c r="U254" s="25" t="s">
        <v>55</v>
      </c>
      <c r="V254" s="25">
        <v>22</v>
      </c>
      <c r="W254" s="25">
        <v>44.21</v>
      </c>
      <c r="X254" s="25">
        <v>1</v>
      </c>
      <c r="Y254" s="25" t="s">
        <v>55</v>
      </c>
      <c r="Z254" s="25">
        <v>32</v>
      </c>
      <c r="AA254" s="26">
        <f t="shared" si="23"/>
        <v>39.58</v>
      </c>
      <c r="AB254" s="25">
        <v>1.61</v>
      </c>
      <c r="AC254" s="25">
        <v>0</v>
      </c>
      <c r="AE254" s="25">
        <v>1.84</v>
      </c>
      <c r="AF254" s="25">
        <v>1</v>
      </c>
      <c r="AG254" s="25" t="s">
        <v>55</v>
      </c>
      <c r="AH254" s="26">
        <f t="shared" si="24"/>
        <v>1.7250000000000001</v>
      </c>
      <c r="AI254" s="25">
        <v>47.53</v>
      </c>
      <c r="AJ254" s="25" t="s">
        <v>55</v>
      </c>
      <c r="AK254" s="25">
        <v>54</v>
      </c>
      <c r="AL254" s="25" t="s">
        <v>55</v>
      </c>
      <c r="AM254" s="25">
        <v>6</v>
      </c>
      <c r="AN254" s="25">
        <v>1</v>
      </c>
      <c r="AO254" s="26">
        <f t="shared" si="25"/>
        <v>4</v>
      </c>
    </row>
    <row r="255" spans="1:41" ht="15" customHeight="1">
      <c r="A255" s="25" t="s">
        <v>60</v>
      </c>
      <c r="B255" s="25" t="s">
        <v>138</v>
      </c>
      <c r="C255" s="25" t="s">
        <v>45</v>
      </c>
      <c r="D255" s="25" t="s">
        <v>139</v>
      </c>
      <c r="E255" s="25" t="str">
        <f>LEFT(Table1[[#This Row],[TeamID]],FIND("/",Table1[[#This Row],[TeamID]])-1)</f>
        <v>Mike C</v>
      </c>
      <c r="F255" s="26">
        <f>Table1[[#This Row],[TC-G1-AS]]+Table1[[#This Row],[TC-G2-AS]]+Table1[[#This Row],[TC-G3-AS]]+Table1[[#This Row],[TC-G4-AS]]+Table1[[#This Row],[TC-G5-AS]]</f>
        <v>3</v>
      </c>
      <c r="G255" s="25">
        <v>1</v>
      </c>
      <c r="I255" s="25">
        <v>2</v>
      </c>
      <c r="L255" s="25" t="str">
        <f>SUBSTITUTE(Table1[[#This Row],[TeamID]],Table1[[#This Row],[Team Captain]]&amp;"/","")</f>
        <v>Tristan</v>
      </c>
      <c r="O255" s="25">
        <v>1</v>
      </c>
      <c r="P255" s="25">
        <v>1</v>
      </c>
      <c r="R255" s="26">
        <f>Table1[[#This Row],[P-G1-AS]]+Table1[[#This Row],[P-G2-AS]]+Table1[[#This Row],[P-G3-AS]]+Table1[[#This Row],[P-G4-AS]]+Table1[[#This Row],[P-G5-AS]]</f>
        <v>2</v>
      </c>
      <c r="S255" s="25">
        <v>35.5</v>
      </c>
      <c r="T255" s="25">
        <v>0</v>
      </c>
      <c r="W255" s="25">
        <v>38.42</v>
      </c>
      <c r="X255" s="25">
        <v>0</v>
      </c>
      <c r="AA255" s="26">
        <f t="shared" si="23"/>
        <v>36.96</v>
      </c>
      <c r="AB255" s="25">
        <v>1.83</v>
      </c>
      <c r="AC255" s="25">
        <v>1</v>
      </c>
      <c r="AD255" s="25" t="s">
        <v>84</v>
      </c>
      <c r="AE255" s="25">
        <v>1.63</v>
      </c>
      <c r="AF255" s="25">
        <v>0</v>
      </c>
      <c r="AH255" s="26">
        <f t="shared" si="24"/>
        <v>1.73</v>
      </c>
      <c r="AI255" s="25">
        <v>24.71</v>
      </c>
      <c r="AJ255" s="25" t="s">
        <v>121</v>
      </c>
      <c r="AK255" s="25">
        <v>42</v>
      </c>
      <c r="AN255" s="25">
        <v>0</v>
      </c>
      <c r="AO255" s="26">
        <f t="shared" si="25"/>
        <v>1</v>
      </c>
    </row>
    <row r="256" spans="1:41" ht="15" customHeight="1">
      <c r="A256" s="25" t="s">
        <v>61</v>
      </c>
      <c r="B256" s="25" t="s">
        <v>138</v>
      </c>
      <c r="C256" s="25" t="s">
        <v>43</v>
      </c>
      <c r="D256" s="25" t="s">
        <v>142</v>
      </c>
      <c r="E256" s="25" t="str">
        <f>LEFT(Table1[[#This Row],[TeamID]],FIND("/",Table1[[#This Row],[TeamID]])-1)</f>
        <v>Clarence</v>
      </c>
      <c r="F256" s="26">
        <f>Table1[[#This Row],[TC-G1-AS]]+Table1[[#This Row],[TC-G2-AS]]+Table1[[#This Row],[TC-G3-AS]]+Table1[[#This Row],[TC-G4-AS]]+Table1[[#This Row],[TC-G5-AS]]</f>
        <v>0</v>
      </c>
      <c r="L256" s="25" t="str">
        <f>SUBSTITUTE(Table1[[#This Row],[TeamID]],Table1[[#This Row],[Team Captain]]&amp;"/","")</f>
        <v>Troy</v>
      </c>
      <c r="R256" s="26">
        <f>Table1[[#This Row],[P-G1-AS]]+Table1[[#This Row],[P-G2-AS]]+Table1[[#This Row],[P-G3-AS]]+Table1[[#This Row],[P-G4-AS]]+Table1[[#This Row],[P-G5-AS]]</f>
        <v>0</v>
      </c>
      <c r="S256" s="25">
        <v>35.5</v>
      </c>
      <c r="T256" s="25">
        <v>0</v>
      </c>
      <c r="W256" s="25">
        <v>46.97</v>
      </c>
      <c r="X256" s="25">
        <v>1</v>
      </c>
      <c r="Y256" s="25" t="s">
        <v>129</v>
      </c>
      <c r="Z256" s="25">
        <v>38</v>
      </c>
      <c r="AA256" s="26">
        <f t="shared" si="23"/>
        <v>41.234999999999999</v>
      </c>
      <c r="AB256" s="25">
        <v>1.45</v>
      </c>
      <c r="AC256" s="25">
        <v>0</v>
      </c>
      <c r="AE256" s="25">
        <v>1.2</v>
      </c>
      <c r="AF256" s="25">
        <v>1</v>
      </c>
      <c r="AG256" s="25" t="s">
        <v>129</v>
      </c>
      <c r="AH256" s="26">
        <f t="shared" si="24"/>
        <v>1.325</v>
      </c>
      <c r="AI256" s="25">
        <v>47.17</v>
      </c>
      <c r="AJ256" s="25" t="s">
        <v>87</v>
      </c>
      <c r="AK256" s="25">
        <v>16</v>
      </c>
      <c r="AN256" s="25">
        <v>0</v>
      </c>
      <c r="AO256" s="26">
        <f t="shared" si="25"/>
        <v>2</v>
      </c>
    </row>
    <row r="257" spans="1:41" ht="15" customHeight="1">
      <c r="A257" s="25" t="s">
        <v>61</v>
      </c>
      <c r="B257" s="25" t="s">
        <v>138</v>
      </c>
      <c r="C257" s="25" t="s">
        <v>45</v>
      </c>
      <c r="D257" s="25" t="s">
        <v>140</v>
      </c>
      <c r="E257" s="25" t="str">
        <f>LEFT(Table1[[#This Row],[TeamID]],FIND("/",Table1[[#This Row],[TeamID]])-1)</f>
        <v>Todd</v>
      </c>
      <c r="F257" s="26">
        <f>Table1[[#This Row],[TC-G1-AS]]+Table1[[#This Row],[TC-G2-AS]]+Table1[[#This Row],[TC-G3-AS]]+Table1[[#This Row],[TC-G4-AS]]+Table1[[#This Row],[TC-G5-AS]]</f>
        <v>0</v>
      </c>
      <c r="L257" s="25" t="str">
        <f>SUBSTITUTE(Table1[[#This Row],[TeamID]],Table1[[#This Row],[Team Captain]]&amp;"/","")</f>
        <v>Tayven</v>
      </c>
      <c r="M257" s="25">
        <v>1</v>
      </c>
      <c r="R257" s="26">
        <f>Table1[[#This Row],[P-G1-AS]]+Table1[[#This Row],[P-G2-AS]]+Table1[[#This Row],[P-G3-AS]]+Table1[[#This Row],[P-G4-AS]]+Table1[[#This Row],[P-G5-AS]]</f>
        <v>1</v>
      </c>
      <c r="S257" s="25">
        <v>35.79</v>
      </c>
      <c r="T257" s="25">
        <v>1</v>
      </c>
      <c r="U257" s="25" t="s">
        <v>86</v>
      </c>
      <c r="V257" s="25">
        <v>4</v>
      </c>
      <c r="W257" s="25">
        <v>43.36</v>
      </c>
      <c r="X257" s="25">
        <v>0</v>
      </c>
      <c r="AA257" s="26">
        <f t="shared" si="23"/>
        <v>39.575000000000003</v>
      </c>
      <c r="AB257" s="25">
        <v>1.57</v>
      </c>
      <c r="AC257" s="25">
        <v>1</v>
      </c>
      <c r="AD257" s="25" t="s">
        <v>86</v>
      </c>
      <c r="AE257" s="25">
        <v>1.1599999999999999</v>
      </c>
      <c r="AF257" s="25">
        <v>0</v>
      </c>
      <c r="AH257" s="26">
        <f t="shared" si="24"/>
        <v>1.365</v>
      </c>
      <c r="AI257" s="25">
        <v>47.53</v>
      </c>
      <c r="AJ257" s="25" t="s">
        <v>92</v>
      </c>
      <c r="AK257" s="25">
        <v>46</v>
      </c>
      <c r="AL257" s="25" t="s">
        <v>92</v>
      </c>
      <c r="AM257" s="25">
        <v>11</v>
      </c>
      <c r="AN257" s="25">
        <v>1</v>
      </c>
      <c r="AO257" s="26">
        <f t="shared" si="25"/>
        <v>3</v>
      </c>
    </row>
    <row r="258" spans="1:41" ht="15" customHeight="1">
      <c r="A258" s="25" t="s">
        <v>62</v>
      </c>
      <c r="B258" s="25" t="s">
        <v>138</v>
      </c>
      <c r="C258" s="25" t="s">
        <v>43</v>
      </c>
      <c r="D258" s="25" t="s">
        <v>141</v>
      </c>
      <c r="E258" s="25" t="str">
        <f>LEFT(Table1[[#This Row],[TeamID]],FIND("/",Table1[[#This Row],[TeamID]])-1)</f>
        <v>Kevin</v>
      </c>
      <c r="F258" s="26">
        <f>Table1[[#This Row],[TC-G1-AS]]+Table1[[#This Row],[TC-G2-AS]]+Table1[[#This Row],[TC-G3-AS]]+Table1[[#This Row],[TC-G4-AS]]+Table1[[#This Row],[TC-G5-AS]]</f>
        <v>4</v>
      </c>
      <c r="G258" s="25">
        <v>1</v>
      </c>
      <c r="H258" s="25">
        <v>2</v>
      </c>
      <c r="J258" s="25">
        <v>1</v>
      </c>
      <c r="L258" s="25" t="str">
        <f>SUBSTITUTE(Table1[[#This Row],[TeamID]],Table1[[#This Row],[Team Captain]]&amp;"/","")</f>
        <v>Mike H</v>
      </c>
      <c r="O258" s="25">
        <v>1</v>
      </c>
      <c r="R258" s="26">
        <f>Table1[[#This Row],[P-G1-AS]]+Table1[[#This Row],[P-G2-AS]]+Table1[[#This Row],[P-G3-AS]]+Table1[[#This Row],[P-G4-AS]]+Table1[[#This Row],[P-G5-AS]]</f>
        <v>1</v>
      </c>
      <c r="S258" s="25">
        <v>49.3</v>
      </c>
      <c r="T258" s="25">
        <v>0</v>
      </c>
      <c r="W258" s="25">
        <v>33</v>
      </c>
      <c r="X258" s="25">
        <v>0</v>
      </c>
      <c r="AA258" s="26">
        <f t="shared" si="23"/>
        <v>41.15</v>
      </c>
      <c r="AB258" s="25">
        <v>1.81</v>
      </c>
      <c r="AC258" s="25">
        <v>1</v>
      </c>
      <c r="AD258" s="25" t="s">
        <v>91</v>
      </c>
      <c r="AE258" s="25">
        <v>1.26</v>
      </c>
      <c r="AF258" s="25">
        <v>1</v>
      </c>
      <c r="AG258" s="25" t="s">
        <v>55</v>
      </c>
      <c r="AH258" s="26">
        <f t="shared" si="24"/>
        <v>1.5350000000000001</v>
      </c>
      <c r="AI258" s="25">
        <v>26.67</v>
      </c>
      <c r="AJ258" s="25" t="s">
        <v>55</v>
      </c>
      <c r="AK258" s="25">
        <v>54</v>
      </c>
      <c r="AN258" s="25">
        <v>0</v>
      </c>
      <c r="AO258" s="26">
        <f t="shared" si="25"/>
        <v>2</v>
      </c>
    </row>
    <row r="259" spans="1:41" ht="15" customHeight="1">
      <c r="A259" s="25" t="s">
        <v>62</v>
      </c>
      <c r="B259" s="25" t="s">
        <v>138</v>
      </c>
      <c r="C259" s="25" t="s">
        <v>45</v>
      </c>
      <c r="D259" s="25" t="s">
        <v>144</v>
      </c>
      <c r="E259" s="25" t="str">
        <f>LEFT(Table1[[#This Row],[TeamID]],FIND("/",Table1[[#This Row],[TeamID]])-1)</f>
        <v>Mike A</v>
      </c>
      <c r="F259" s="26">
        <f>Table1[[#This Row],[TC-G1-AS]]+Table1[[#This Row],[TC-G2-AS]]+Table1[[#This Row],[TC-G3-AS]]+Table1[[#This Row],[TC-G4-AS]]+Table1[[#This Row],[TC-G5-AS]]</f>
        <v>2</v>
      </c>
      <c r="G259" s="25">
        <v>1</v>
      </c>
      <c r="I259" s="25">
        <v>1</v>
      </c>
      <c r="L259" s="25" t="str">
        <f>SUBSTITUTE(Table1[[#This Row],[TeamID]],Table1[[#This Row],[Team Captain]]&amp;"/","")</f>
        <v>Jason</v>
      </c>
      <c r="P259" s="25">
        <v>1</v>
      </c>
      <c r="R259" s="26">
        <f>Table1[[#This Row],[P-G1-AS]]+Table1[[#This Row],[P-G2-AS]]+Table1[[#This Row],[P-G3-AS]]+Table1[[#This Row],[P-G4-AS]]+Table1[[#This Row],[P-G5-AS]]</f>
        <v>1</v>
      </c>
      <c r="S259" s="25">
        <v>46.97</v>
      </c>
      <c r="T259" s="25">
        <v>1</v>
      </c>
      <c r="U259" s="25" t="s">
        <v>57</v>
      </c>
      <c r="V259" s="25">
        <v>12</v>
      </c>
      <c r="W259" s="25">
        <v>34.950000000000003</v>
      </c>
      <c r="X259" s="25">
        <v>1</v>
      </c>
      <c r="Y259" s="25" t="s">
        <v>99</v>
      </c>
      <c r="Z259" s="25">
        <v>16</v>
      </c>
      <c r="AA259" s="26">
        <f t="shared" si="23"/>
        <v>40.96</v>
      </c>
      <c r="AB259" s="25">
        <v>1.6</v>
      </c>
      <c r="AC259" s="25">
        <v>0</v>
      </c>
      <c r="AE259" s="25">
        <v>1.26</v>
      </c>
      <c r="AF259" s="25">
        <v>0</v>
      </c>
      <c r="AH259" s="26">
        <f t="shared" si="24"/>
        <v>1.4300000000000002</v>
      </c>
      <c r="AI259" s="25">
        <v>33.44</v>
      </c>
      <c r="AJ259" s="25" t="s">
        <v>99</v>
      </c>
      <c r="AK259" s="25">
        <v>32</v>
      </c>
      <c r="AL259" s="25" t="s">
        <v>57</v>
      </c>
      <c r="AM259" s="25">
        <v>62</v>
      </c>
      <c r="AN259" s="25">
        <v>1</v>
      </c>
      <c r="AO259" s="26">
        <f t="shared" si="25"/>
        <v>3</v>
      </c>
    </row>
    <row r="260" spans="1:41" ht="15" customHeight="1">
      <c r="A260" s="25" t="s">
        <v>63</v>
      </c>
      <c r="B260" s="25" t="s">
        <v>138</v>
      </c>
      <c r="C260" s="25" t="s">
        <v>43</v>
      </c>
      <c r="D260" s="25" t="s">
        <v>145</v>
      </c>
      <c r="E260" s="25" t="str">
        <f>LEFT(Table1[[#This Row],[TeamID]],FIND("/",Table1[[#This Row],[TeamID]])-1)</f>
        <v>Brian</v>
      </c>
      <c r="F260" s="26">
        <f>Table1[[#This Row],[TC-G1-AS]]+Table1[[#This Row],[TC-G2-AS]]+Table1[[#This Row],[TC-G3-AS]]+Table1[[#This Row],[TC-G4-AS]]+Table1[[#This Row],[TC-G5-AS]]</f>
        <v>3</v>
      </c>
      <c r="I260" s="25">
        <v>2</v>
      </c>
      <c r="K260" s="25">
        <v>1</v>
      </c>
      <c r="L260" s="25" t="str">
        <f>SUBSTITUTE(Table1[[#This Row],[TeamID]],Table1[[#This Row],[Team Captain]]&amp;"/","")</f>
        <v>David</v>
      </c>
      <c r="P260" s="25">
        <v>2</v>
      </c>
      <c r="R260" s="26">
        <f>Table1[[#This Row],[P-G1-AS]]+Table1[[#This Row],[P-G2-AS]]+Table1[[#This Row],[P-G3-AS]]+Table1[[#This Row],[P-G4-AS]]+Table1[[#This Row],[P-G5-AS]]</f>
        <v>2</v>
      </c>
      <c r="S260" s="25">
        <v>34.29</v>
      </c>
      <c r="T260" s="25">
        <v>0</v>
      </c>
      <c r="W260" s="25">
        <v>38.380000000000003</v>
      </c>
      <c r="X260" s="25">
        <v>0</v>
      </c>
      <c r="AA260" s="26">
        <f t="shared" si="23"/>
        <v>36.335000000000001</v>
      </c>
      <c r="AB260" s="25">
        <v>1.24</v>
      </c>
      <c r="AC260" s="25">
        <v>0</v>
      </c>
      <c r="AE260" s="25">
        <v>1.7</v>
      </c>
      <c r="AF260" s="25">
        <v>1</v>
      </c>
      <c r="AG260" s="25" t="s">
        <v>113</v>
      </c>
      <c r="AH260" s="26">
        <f t="shared" si="24"/>
        <v>1.47</v>
      </c>
      <c r="AI260" s="25">
        <v>26.91</v>
      </c>
      <c r="AJ260" s="25" t="s">
        <v>113</v>
      </c>
      <c r="AK260" s="25">
        <v>20</v>
      </c>
      <c r="AN260" s="25">
        <v>0</v>
      </c>
      <c r="AO260" s="26">
        <f t="shared" si="25"/>
        <v>1</v>
      </c>
    </row>
    <row r="261" spans="1:41" ht="15" customHeight="1">
      <c r="A261" s="25" t="s">
        <v>63</v>
      </c>
      <c r="B261" s="25" t="s">
        <v>138</v>
      </c>
      <c r="C261" s="25" t="s">
        <v>45</v>
      </c>
      <c r="D261" s="25" t="s">
        <v>140</v>
      </c>
      <c r="E261" s="25" t="str">
        <f>LEFT(Table1[[#This Row],[TeamID]],FIND("/",Table1[[#This Row],[TeamID]])-1)</f>
        <v>Todd</v>
      </c>
      <c r="F261" s="26">
        <f>Table1[[#This Row],[TC-G1-AS]]+Table1[[#This Row],[TC-G2-AS]]+Table1[[#This Row],[TC-G3-AS]]+Table1[[#This Row],[TC-G4-AS]]+Table1[[#This Row],[TC-G5-AS]]</f>
        <v>0</v>
      </c>
      <c r="L261" s="25" t="str">
        <f>SUBSTITUTE(Table1[[#This Row],[TeamID]],Table1[[#This Row],[Team Captain]]&amp;"/","")</f>
        <v>Tayven</v>
      </c>
      <c r="O261" s="25">
        <v>1</v>
      </c>
      <c r="R261" s="26">
        <f>Table1[[#This Row],[P-G1-AS]]+Table1[[#This Row],[P-G2-AS]]+Table1[[#This Row],[P-G3-AS]]+Table1[[#This Row],[P-G4-AS]]+Table1[[#This Row],[P-G5-AS]]</f>
        <v>1</v>
      </c>
      <c r="S261" s="25">
        <v>36.659999999999997</v>
      </c>
      <c r="T261" s="25">
        <v>1</v>
      </c>
      <c r="U261" s="25" t="s">
        <v>86</v>
      </c>
      <c r="V261" s="25">
        <v>39</v>
      </c>
      <c r="W261" s="25">
        <v>33.659999999999997</v>
      </c>
      <c r="X261" s="25">
        <v>1</v>
      </c>
      <c r="Y261" s="25" t="s">
        <v>92</v>
      </c>
      <c r="Z261" s="25">
        <v>4</v>
      </c>
      <c r="AA261" s="26">
        <f t="shared" si="23"/>
        <v>35.159999999999997</v>
      </c>
      <c r="AB261" s="25">
        <v>1.58</v>
      </c>
      <c r="AC261" s="25">
        <v>1</v>
      </c>
      <c r="AD261" s="25" t="s">
        <v>92</v>
      </c>
      <c r="AE261" s="25">
        <v>1.37</v>
      </c>
      <c r="AF261" s="25">
        <v>0</v>
      </c>
      <c r="AH261" s="26">
        <f t="shared" si="24"/>
        <v>1.4750000000000001</v>
      </c>
      <c r="AI261" s="25">
        <v>25.08</v>
      </c>
      <c r="AJ261" s="25" t="s">
        <v>92</v>
      </c>
      <c r="AK261" s="25">
        <v>22</v>
      </c>
      <c r="AL261" s="25" t="s">
        <v>86</v>
      </c>
      <c r="AM261" s="25">
        <v>20</v>
      </c>
      <c r="AN261" s="25">
        <v>1</v>
      </c>
      <c r="AO261" s="26">
        <f t="shared" si="25"/>
        <v>4</v>
      </c>
    </row>
    <row r="262" spans="1:41" ht="15" customHeight="1">
      <c r="A262" s="25" t="s">
        <v>64</v>
      </c>
      <c r="B262" s="25" t="s">
        <v>138</v>
      </c>
      <c r="C262" s="25" t="s">
        <v>43</v>
      </c>
      <c r="D262" s="25" t="s">
        <v>142</v>
      </c>
      <c r="E262" s="25" t="str">
        <f>LEFT(Table1[[#This Row],[TeamID]],FIND("/",Table1[[#This Row],[TeamID]])-1)</f>
        <v>Clarence</v>
      </c>
      <c r="F262" s="26">
        <f>Table1[[#This Row],[TC-G1-AS]]+Table1[[#This Row],[TC-G2-AS]]+Table1[[#This Row],[TC-G3-AS]]+Table1[[#This Row],[TC-G4-AS]]+Table1[[#This Row],[TC-G5-AS]]</f>
        <v>1</v>
      </c>
      <c r="J262" s="25">
        <v>1</v>
      </c>
      <c r="L262" s="25" t="str">
        <f>SUBSTITUTE(Table1[[#This Row],[TeamID]],Table1[[#This Row],[Team Captain]]&amp;"/","")</f>
        <v>Troy</v>
      </c>
      <c r="R262" s="26">
        <f>Table1[[#This Row],[P-G1-AS]]+Table1[[#This Row],[P-G2-AS]]+Table1[[#This Row],[P-G3-AS]]+Table1[[#This Row],[P-G4-AS]]+Table1[[#This Row],[P-G5-AS]]</f>
        <v>0</v>
      </c>
      <c r="S262" s="25">
        <v>29.33</v>
      </c>
      <c r="T262" s="25">
        <v>0</v>
      </c>
      <c r="W262" s="25">
        <v>26.26</v>
      </c>
      <c r="X262" s="25">
        <v>0</v>
      </c>
      <c r="AA262" s="26">
        <f t="shared" si="23"/>
        <v>27.795000000000002</v>
      </c>
      <c r="AB262" s="25">
        <v>1.69</v>
      </c>
      <c r="AC262" s="25">
        <v>0</v>
      </c>
      <c r="AE262" s="25">
        <v>1.43</v>
      </c>
      <c r="AF262" s="25">
        <v>1</v>
      </c>
      <c r="AG262" s="25" t="s">
        <v>87</v>
      </c>
      <c r="AH262" s="26">
        <f t="shared" si="24"/>
        <v>1.56</v>
      </c>
      <c r="AI262" s="25">
        <v>15.19</v>
      </c>
      <c r="AJ262" s="25" t="s">
        <v>129</v>
      </c>
      <c r="AK262" s="25">
        <v>16</v>
      </c>
      <c r="AN262" s="25">
        <v>0</v>
      </c>
      <c r="AO262" s="26">
        <f t="shared" si="25"/>
        <v>1</v>
      </c>
    </row>
    <row r="263" spans="1:41" ht="15" customHeight="1">
      <c r="A263" s="25" t="s">
        <v>64</v>
      </c>
      <c r="B263" s="25" t="s">
        <v>138</v>
      </c>
      <c r="C263" s="25" t="s">
        <v>45</v>
      </c>
      <c r="D263" s="25" t="s">
        <v>146</v>
      </c>
      <c r="E263" s="25" t="str">
        <f>LEFT(Table1[[#This Row],[TeamID]],FIND("/",Table1[[#This Row],[TeamID]])-1)</f>
        <v>Paul</v>
      </c>
      <c r="F263" s="26">
        <f>Table1[[#This Row],[TC-G1-AS]]+Table1[[#This Row],[TC-G2-AS]]+Table1[[#This Row],[TC-G3-AS]]+Table1[[#This Row],[TC-G4-AS]]+Table1[[#This Row],[TC-G5-AS]]</f>
        <v>1</v>
      </c>
      <c r="G263" s="25">
        <v>1</v>
      </c>
      <c r="L263" s="25" t="str">
        <f>SUBSTITUTE(Table1[[#This Row],[TeamID]],Table1[[#This Row],[Team Captain]]&amp;"/","")</f>
        <v>Neil</v>
      </c>
      <c r="R263" s="26">
        <f>Table1[[#This Row],[P-G1-AS]]+Table1[[#This Row],[P-G2-AS]]+Table1[[#This Row],[P-G3-AS]]+Table1[[#This Row],[P-G4-AS]]+Table1[[#This Row],[P-G5-AS]]</f>
        <v>0</v>
      </c>
      <c r="S263" s="25">
        <v>28.9</v>
      </c>
      <c r="T263" s="25">
        <v>1</v>
      </c>
      <c r="U263" s="25" t="s">
        <v>97</v>
      </c>
      <c r="V263" s="25">
        <v>14</v>
      </c>
      <c r="W263" s="25">
        <v>26.37</v>
      </c>
      <c r="X263" s="25">
        <v>1</v>
      </c>
      <c r="Y263" s="25" t="s">
        <v>94</v>
      </c>
      <c r="Z263" s="25">
        <v>8</v>
      </c>
      <c r="AA263" s="26">
        <f t="shared" si="23"/>
        <v>27.634999999999998</v>
      </c>
      <c r="AB263" s="25">
        <v>1.71</v>
      </c>
      <c r="AC263" s="25">
        <v>1</v>
      </c>
      <c r="AD263" s="25" t="s">
        <v>94</v>
      </c>
      <c r="AE263" s="25">
        <v>1.5</v>
      </c>
      <c r="AF263" s="25">
        <v>0</v>
      </c>
      <c r="AH263" s="26">
        <f t="shared" si="24"/>
        <v>1.605</v>
      </c>
      <c r="AI263" s="25">
        <v>19.239999999999998</v>
      </c>
      <c r="AJ263" s="25" t="s">
        <v>94</v>
      </c>
      <c r="AK263" s="25">
        <v>12</v>
      </c>
      <c r="AL263" s="25" t="s">
        <v>97</v>
      </c>
      <c r="AM263" s="25">
        <v>4</v>
      </c>
      <c r="AN263" s="25">
        <v>1</v>
      </c>
      <c r="AO263" s="26">
        <f t="shared" si="25"/>
        <v>4</v>
      </c>
    </row>
    <row r="264" spans="1:41" ht="15" customHeight="1">
      <c r="A264" s="25" t="s">
        <v>65</v>
      </c>
      <c r="B264" s="25" t="s">
        <v>138</v>
      </c>
      <c r="C264" s="25" t="s">
        <v>43</v>
      </c>
      <c r="D264" s="25" t="s">
        <v>143</v>
      </c>
      <c r="E264" s="25" t="str">
        <f>LEFT(Table1[[#This Row],[TeamID]],FIND("/",Table1[[#This Row],[TeamID]])-1)</f>
        <v>Daniel</v>
      </c>
      <c r="F264" s="26">
        <f>Table1[[#This Row],[TC-G1-AS]]+Table1[[#This Row],[TC-G2-AS]]+Table1[[#This Row],[TC-G3-AS]]+Table1[[#This Row],[TC-G4-AS]]+Table1[[#This Row],[TC-G5-AS]]</f>
        <v>6</v>
      </c>
      <c r="G264" s="25">
        <v>2</v>
      </c>
      <c r="I264" s="25">
        <v>1</v>
      </c>
      <c r="J264" s="25">
        <v>2</v>
      </c>
      <c r="K264" s="25">
        <v>1</v>
      </c>
      <c r="L264" s="25" t="str">
        <f>SUBSTITUTE(Table1[[#This Row],[TeamID]],Table1[[#This Row],[Team Captain]]&amp;"/","")</f>
        <v>Mark</v>
      </c>
      <c r="R264" s="26">
        <f>Table1[[#This Row],[P-G1-AS]]+Table1[[#This Row],[P-G2-AS]]+Table1[[#This Row],[P-G3-AS]]+Table1[[#This Row],[P-G4-AS]]+Table1[[#This Row],[P-G5-AS]]</f>
        <v>0</v>
      </c>
      <c r="S264" s="25">
        <v>26.37</v>
      </c>
      <c r="T264" s="25">
        <v>1</v>
      </c>
      <c r="U264" s="25" t="s">
        <v>89</v>
      </c>
      <c r="V264" s="25">
        <v>2</v>
      </c>
      <c r="W264" s="25">
        <v>29.47</v>
      </c>
      <c r="X264" s="25">
        <v>1</v>
      </c>
      <c r="Y264" s="25" t="s">
        <v>102</v>
      </c>
      <c r="Z264" s="25">
        <v>4</v>
      </c>
      <c r="AA264" s="26">
        <f t="shared" si="23"/>
        <v>27.92</v>
      </c>
      <c r="AB264" s="25">
        <v>1.5</v>
      </c>
      <c r="AC264" s="25">
        <v>1</v>
      </c>
      <c r="AD264" s="25" t="s">
        <v>89</v>
      </c>
      <c r="AE264" s="25">
        <v>2.5499999999999998</v>
      </c>
      <c r="AF264" s="25">
        <v>1</v>
      </c>
      <c r="AG264" s="25" t="s">
        <v>89</v>
      </c>
      <c r="AH264" s="26">
        <f t="shared" si="24"/>
        <v>2.0249999999999999</v>
      </c>
      <c r="AI264" s="25">
        <v>29.13</v>
      </c>
      <c r="AJ264" s="25" t="s">
        <v>89</v>
      </c>
      <c r="AK264" s="25">
        <v>83</v>
      </c>
      <c r="AL264" s="25" t="s">
        <v>89</v>
      </c>
      <c r="AM264" s="25">
        <v>4</v>
      </c>
      <c r="AN264" s="25">
        <v>1</v>
      </c>
      <c r="AO264" s="26">
        <f t="shared" si="25"/>
        <v>5</v>
      </c>
    </row>
    <row r="265" spans="1:41" ht="15" customHeight="1">
      <c r="A265" s="25" t="s">
        <v>65</v>
      </c>
      <c r="B265" s="25" t="s">
        <v>138</v>
      </c>
      <c r="C265" s="25" t="s">
        <v>45</v>
      </c>
      <c r="D265" s="25" t="s">
        <v>139</v>
      </c>
      <c r="E265" s="25" t="str">
        <f>LEFT(Table1[[#This Row],[TeamID]],FIND("/",Table1[[#This Row],[TeamID]])-1)</f>
        <v>Mike C</v>
      </c>
      <c r="F265" s="26">
        <f>Table1[[#This Row],[TC-G1-AS]]+Table1[[#This Row],[TC-G2-AS]]+Table1[[#This Row],[TC-G3-AS]]+Table1[[#This Row],[TC-G4-AS]]+Table1[[#This Row],[TC-G5-AS]]</f>
        <v>1</v>
      </c>
      <c r="H265" s="25">
        <v>1</v>
      </c>
      <c r="L265" s="25" t="str">
        <f>SUBSTITUTE(Table1[[#This Row],[TeamID]],Table1[[#This Row],[Team Captain]]&amp;"/","")</f>
        <v>Tristan</v>
      </c>
      <c r="R265" s="26">
        <f>Table1[[#This Row],[P-G1-AS]]+Table1[[#This Row],[P-G2-AS]]+Table1[[#This Row],[P-G3-AS]]+Table1[[#This Row],[P-G4-AS]]+Table1[[#This Row],[P-G5-AS]]</f>
        <v>0</v>
      </c>
      <c r="S265" s="25">
        <v>26.11</v>
      </c>
      <c r="T265" s="25">
        <v>0</v>
      </c>
      <c r="W265" s="25">
        <v>31.06</v>
      </c>
      <c r="X265" s="25">
        <v>0</v>
      </c>
      <c r="AA265" s="26">
        <f t="shared" si="23"/>
        <v>28.585000000000001</v>
      </c>
      <c r="AB265" s="25">
        <v>1.18</v>
      </c>
      <c r="AC265" s="25">
        <v>0</v>
      </c>
      <c r="AE265" s="25">
        <v>1.36</v>
      </c>
      <c r="AF265" s="25">
        <v>0</v>
      </c>
      <c r="AH265" s="26">
        <f t="shared" si="24"/>
        <v>1.27</v>
      </c>
      <c r="AI265" s="25">
        <v>18.100000000000001</v>
      </c>
      <c r="AJ265" s="25" t="s">
        <v>84</v>
      </c>
      <c r="AK265" s="25">
        <v>16</v>
      </c>
      <c r="AN265" s="25">
        <v>0</v>
      </c>
      <c r="AO265" s="26">
        <f t="shared" si="25"/>
        <v>0</v>
      </c>
    </row>
    <row r="266" spans="1:41" ht="15" customHeight="1">
      <c r="A266" s="25" t="s">
        <v>66</v>
      </c>
      <c r="B266" s="25" t="s">
        <v>138</v>
      </c>
      <c r="C266" s="25" t="s">
        <v>43</v>
      </c>
      <c r="D266" s="25" t="s">
        <v>143</v>
      </c>
      <c r="E266" s="25" t="str">
        <f>LEFT(Table1[[#This Row],[TeamID]],FIND("/",Table1[[#This Row],[TeamID]])-1)</f>
        <v>Daniel</v>
      </c>
      <c r="F266" s="26">
        <f>Table1[[#This Row],[TC-G1-AS]]+Table1[[#This Row],[TC-G2-AS]]+Table1[[#This Row],[TC-G3-AS]]+Table1[[#This Row],[TC-G4-AS]]+Table1[[#This Row],[TC-G5-AS]]</f>
        <v>0</v>
      </c>
      <c r="L266" s="25" t="str">
        <f>SUBSTITUTE(Table1[[#This Row],[TeamID]],Table1[[#This Row],[Team Captain]]&amp;"/","")</f>
        <v>Mark</v>
      </c>
      <c r="N266" s="25">
        <v>1</v>
      </c>
      <c r="R266" s="26">
        <f>Table1[[#This Row],[P-G1-AS]]+Table1[[#This Row],[P-G2-AS]]+Table1[[#This Row],[P-G3-AS]]+Table1[[#This Row],[P-G4-AS]]+Table1[[#This Row],[P-G5-AS]]</f>
        <v>1</v>
      </c>
      <c r="S266" s="25">
        <v>57.81</v>
      </c>
      <c r="T266" s="25">
        <v>1</v>
      </c>
      <c r="U266" s="25" t="s">
        <v>89</v>
      </c>
      <c r="V266" s="25">
        <v>56</v>
      </c>
      <c r="W266" s="25">
        <v>46.1</v>
      </c>
      <c r="X266" s="25">
        <v>1</v>
      </c>
      <c r="Y266" s="25" t="s">
        <v>89</v>
      </c>
      <c r="Z266" s="25">
        <v>32</v>
      </c>
      <c r="AA266" s="26">
        <f t="shared" si="23"/>
        <v>51.954999999999998</v>
      </c>
      <c r="AB266" s="25">
        <v>1.56</v>
      </c>
      <c r="AC266" s="25">
        <v>0</v>
      </c>
      <c r="AE266" s="25">
        <v>2</v>
      </c>
      <c r="AF266" s="25">
        <v>1</v>
      </c>
      <c r="AG266" s="25" t="s">
        <v>89</v>
      </c>
      <c r="AH266" s="26">
        <f t="shared" si="24"/>
        <v>1.78</v>
      </c>
      <c r="AI266" s="25">
        <v>29.13</v>
      </c>
      <c r="AJ266" s="25" t="s">
        <v>89</v>
      </c>
      <c r="AK266" s="25">
        <v>55</v>
      </c>
      <c r="AL266" s="25" t="s">
        <v>89</v>
      </c>
      <c r="AM266" s="25">
        <v>20</v>
      </c>
      <c r="AN266" s="25">
        <v>1</v>
      </c>
      <c r="AO266" s="26">
        <f t="shared" si="25"/>
        <v>4</v>
      </c>
    </row>
    <row r="267" spans="1:41" ht="15" customHeight="1">
      <c r="A267" s="25" t="s">
        <v>66</v>
      </c>
      <c r="B267" s="25" t="s">
        <v>138</v>
      </c>
      <c r="C267" s="25" t="s">
        <v>45</v>
      </c>
      <c r="D267" s="25" t="s">
        <v>142</v>
      </c>
      <c r="E267" s="25" t="str">
        <f>LEFT(Table1[[#This Row],[TeamID]],FIND("/",Table1[[#This Row],[TeamID]])-1)</f>
        <v>Clarence</v>
      </c>
      <c r="F267" s="26">
        <f>Table1[[#This Row],[TC-G1-AS]]+Table1[[#This Row],[TC-G2-AS]]+Table1[[#This Row],[TC-G3-AS]]+Table1[[#This Row],[TC-G4-AS]]+Table1[[#This Row],[TC-G5-AS]]</f>
        <v>1</v>
      </c>
      <c r="I267" s="25">
        <v>1</v>
      </c>
      <c r="L267" s="25" t="str">
        <f>SUBSTITUTE(Table1[[#This Row],[TeamID]],Table1[[#This Row],[Team Captain]]&amp;"/","")</f>
        <v>Troy</v>
      </c>
      <c r="R267" s="26">
        <f>Table1[[#This Row],[P-G1-AS]]+Table1[[#This Row],[P-G2-AS]]+Table1[[#This Row],[P-G3-AS]]+Table1[[#This Row],[P-G4-AS]]+Table1[[#This Row],[P-G5-AS]]</f>
        <v>0</v>
      </c>
      <c r="S267" s="25">
        <v>39.119999999999997</v>
      </c>
      <c r="T267" s="25">
        <v>0</v>
      </c>
      <c r="W267" s="25">
        <v>50.1</v>
      </c>
      <c r="X267" s="25">
        <v>0</v>
      </c>
      <c r="AA267" s="26">
        <f t="shared" si="23"/>
        <v>44.61</v>
      </c>
      <c r="AB267" s="25">
        <v>1.75</v>
      </c>
      <c r="AC267" s="25">
        <v>1</v>
      </c>
      <c r="AD267" s="25" t="s">
        <v>87</v>
      </c>
      <c r="AE267" s="25">
        <v>1.85</v>
      </c>
      <c r="AF267" s="25">
        <v>0</v>
      </c>
      <c r="AH267" s="26">
        <f t="shared" si="24"/>
        <v>1.8</v>
      </c>
      <c r="AI267" s="25">
        <v>21</v>
      </c>
      <c r="AJ267" s="25" t="s">
        <v>87</v>
      </c>
      <c r="AK267" s="25">
        <v>37</v>
      </c>
      <c r="AN267" s="25">
        <v>0</v>
      </c>
      <c r="AO267" s="26">
        <f t="shared" si="25"/>
        <v>1</v>
      </c>
    </row>
    <row r="268" spans="1:41" ht="15" customHeight="1">
      <c r="A268" s="25" t="s">
        <v>67</v>
      </c>
      <c r="B268" s="25" t="s">
        <v>138</v>
      </c>
      <c r="C268" s="25" t="s">
        <v>43</v>
      </c>
      <c r="D268" s="25" t="s">
        <v>139</v>
      </c>
      <c r="E268" s="25" t="str">
        <f>LEFT(Table1[[#This Row],[TeamID]],FIND("/",Table1[[#This Row],[TeamID]])-1)</f>
        <v>Mike C</v>
      </c>
      <c r="F268" s="26">
        <f>Table1[[#This Row],[TC-G1-AS]]+Table1[[#This Row],[TC-G2-AS]]+Table1[[#This Row],[TC-G3-AS]]+Table1[[#This Row],[TC-G4-AS]]+Table1[[#This Row],[TC-G5-AS]]</f>
        <v>2</v>
      </c>
      <c r="H268" s="25">
        <v>1</v>
      </c>
      <c r="K268" s="25">
        <v>1</v>
      </c>
      <c r="L268" s="25" t="str">
        <f>SUBSTITUTE(Table1[[#This Row],[TeamID]],Table1[[#This Row],[Team Captain]]&amp;"/","")</f>
        <v>Tristan</v>
      </c>
      <c r="R268" s="26">
        <f>Table1[[#This Row],[P-G1-AS]]+Table1[[#This Row],[P-G2-AS]]+Table1[[#This Row],[P-G3-AS]]+Table1[[#This Row],[P-G4-AS]]+Table1[[#This Row],[P-G5-AS]]</f>
        <v>0</v>
      </c>
      <c r="S268" s="25">
        <v>20.67</v>
      </c>
      <c r="T268" s="25">
        <v>0</v>
      </c>
      <c r="W268" s="25">
        <v>37.57</v>
      </c>
      <c r="X268" s="25">
        <v>1</v>
      </c>
      <c r="Y268" s="25" t="s">
        <v>84</v>
      </c>
      <c r="Z268" s="25">
        <v>2</v>
      </c>
      <c r="AA268" s="26">
        <f t="shared" si="23"/>
        <v>29.12</v>
      </c>
      <c r="AB268" s="25">
        <v>1.17</v>
      </c>
      <c r="AC268" s="25">
        <v>1</v>
      </c>
      <c r="AD268" s="25" t="s">
        <v>121</v>
      </c>
      <c r="AE268" s="25">
        <v>1.04</v>
      </c>
      <c r="AF268" s="25">
        <v>0</v>
      </c>
      <c r="AH268" s="26">
        <f t="shared" si="24"/>
        <v>1.105</v>
      </c>
      <c r="AI268" s="25">
        <v>21</v>
      </c>
      <c r="AJ268" s="25" t="s">
        <v>121</v>
      </c>
      <c r="AK268" s="25">
        <v>16</v>
      </c>
      <c r="AL268" s="25" t="s">
        <v>84</v>
      </c>
      <c r="AM268" s="25">
        <v>2</v>
      </c>
      <c r="AN268" s="25">
        <v>1</v>
      </c>
      <c r="AO268" s="26">
        <f t="shared" si="25"/>
        <v>3</v>
      </c>
    </row>
    <row r="269" spans="1:41" ht="15" customHeight="1">
      <c r="A269" s="25" t="s">
        <v>67</v>
      </c>
      <c r="B269" s="25" t="s">
        <v>138</v>
      </c>
      <c r="C269" s="25" t="s">
        <v>45</v>
      </c>
      <c r="D269" s="25" t="s">
        <v>146</v>
      </c>
      <c r="E269" s="25" t="str">
        <f>LEFT(Table1[[#This Row],[TeamID]],FIND("/",Table1[[#This Row],[TeamID]])-1)</f>
        <v>Paul</v>
      </c>
      <c r="F269" s="26">
        <f>Table1[[#This Row],[TC-G1-AS]]+Table1[[#This Row],[TC-G2-AS]]+Table1[[#This Row],[TC-G3-AS]]+Table1[[#This Row],[TC-G4-AS]]+Table1[[#This Row],[TC-G5-AS]]</f>
        <v>2</v>
      </c>
      <c r="J269" s="25">
        <v>2</v>
      </c>
      <c r="L269" s="25" t="str">
        <f>SUBSTITUTE(Table1[[#This Row],[TeamID]],Table1[[#This Row],[Team Captain]]&amp;"/","")</f>
        <v>Neil</v>
      </c>
      <c r="R269" s="26">
        <f>Table1[[#This Row],[P-G1-AS]]+Table1[[#This Row],[P-G2-AS]]+Table1[[#This Row],[P-G3-AS]]+Table1[[#This Row],[P-G4-AS]]+Table1[[#This Row],[P-G5-AS]]</f>
        <v>0</v>
      </c>
      <c r="S269" s="25">
        <v>20.59</v>
      </c>
      <c r="T269" s="25">
        <v>1</v>
      </c>
      <c r="U269" s="25" t="s">
        <v>94</v>
      </c>
      <c r="V269" s="25">
        <v>2</v>
      </c>
      <c r="W269" s="25">
        <v>27.54</v>
      </c>
      <c r="X269" s="25">
        <v>0</v>
      </c>
      <c r="AA269" s="26">
        <f t="shared" si="23"/>
        <v>24.064999999999998</v>
      </c>
      <c r="AB269" s="25">
        <v>1</v>
      </c>
      <c r="AC269" s="25">
        <v>0</v>
      </c>
      <c r="AE269" s="25">
        <v>1.22</v>
      </c>
      <c r="AF269" s="25">
        <v>1</v>
      </c>
      <c r="AG269" s="25" t="s">
        <v>94</v>
      </c>
      <c r="AH269" s="26">
        <f t="shared" si="24"/>
        <v>1.1099999999999999</v>
      </c>
      <c r="AI269" s="25">
        <v>21.07</v>
      </c>
      <c r="AJ269" s="25" t="s">
        <v>97</v>
      </c>
      <c r="AK269" s="25">
        <v>4</v>
      </c>
      <c r="AN269" s="25">
        <v>0</v>
      </c>
      <c r="AO269" s="26">
        <f t="shared" si="25"/>
        <v>2</v>
      </c>
    </row>
    <row r="270" spans="1:41" ht="15" customHeight="1">
      <c r="A270" s="25" t="s">
        <v>68</v>
      </c>
      <c r="B270" s="25" t="s">
        <v>138</v>
      </c>
      <c r="C270" s="25" t="s">
        <v>43</v>
      </c>
      <c r="D270" s="25" t="s">
        <v>144</v>
      </c>
      <c r="E270" s="25" t="str">
        <f>LEFT(Table1[[#This Row],[TeamID]],FIND("/",Table1[[#This Row],[TeamID]])-1)</f>
        <v>Mike A</v>
      </c>
      <c r="F270" s="26">
        <f>Table1[[#This Row],[TC-G1-AS]]+Table1[[#This Row],[TC-G2-AS]]+Table1[[#This Row],[TC-G3-AS]]+Table1[[#This Row],[TC-G4-AS]]+Table1[[#This Row],[TC-G5-AS]]</f>
        <v>0</v>
      </c>
      <c r="L270" s="25" t="str">
        <f>SUBSTITUTE(Table1[[#This Row],[TeamID]],Table1[[#This Row],[Team Captain]]&amp;"/","")</f>
        <v>Jason</v>
      </c>
      <c r="R270" s="26">
        <f>Table1[[#This Row],[P-G1-AS]]+Table1[[#This Row],[P-G2-AS]]+Table1[[#This Row],[P-G3-AS]]+Table1[[#This Row],[P-G4-AS]]+Table1[[#This Row],[P-G5-AS]]</f>
        <v>0</v>
      </c>
      <c r="S270" s="25">
        <v>23.8</v>
      </c>
      <c r="T270" s="25">
        <v>0</v>
      </c>
      <c r="W270" s="25">
        <v>47</v>
      </c>
      <c r="X270" s="25">
        <v>1</v>
      </c>
      <c r="Y270" s="25" t="s">
        <v>99</v>
      </c>
      <c r="Z270" s="25">
        <v>16</v>
      </c>
      <c r="AA270" s="26">
        <f t="shared" si="23"/>
        <v>35.4</v>
      </c>
      <c r="AB270" s="25">
        <v>1.5</v>
      </c>
      <c r="AC270" s="25">
        <v>0</v>
      </c>
      <c r="AE270" s="25">
        <v>1.4</v>
      </c>
      <c r="AF270" s="25">
        <v>0</v>
      </c>
      <c r="AH270" s="26">
        <f t="shared" si="24"/>
        <v>1.45</v>
      </c>
      <c r="AI270" s="25">
        <v>33.4</v>
      </c>
      <c r="AJ270" s="25" t="s">
        <v>57</v>
      </c>
      <c r="AK270" s="25">
        <v>27</v>
      </c>
      <c r="AL270" s="25" t="s">
        <v>99</v>
      </c>
      <c r="AM270" s="25">
        <v>57</v>
      </c>
      <c r="AN270" s="25">
        <v>1</v>
      </c>
      <c r="AO270" s="26">
        <f t="shared" si="25"/>
        <v>2</v>
      </c>
    </row>
    <row r="271" spans="1:41" ht="15" customHeight="1">
      <c r="A271" s="25" t="s">
        <v>68</v>
      </c>
      <c r="B271" s="25" t="s">
        <v>138</v>
      </c>
      <c r="C271" s="25" t="s">
        <v>45</v>
      </c>
      <c r="D271" s="25" t="s">
        <v>140</v>
      </c>
      <c r="E271" s="25" t="str">
        <f>LEFT(Table1[[#This Row],[TeamID]],FIND("/",Table1[[#This Row],[TeamID]])-1)</f>
        <v>Todd</v>
      </c>
      <c r="F271" s="26">
        <f>Table1[[#This Row],[TC-G1-AS]]+Table1[[#This Row],[TC-G2-AS]]+Table1[[#This Row],[TC-G3-AS]]+Table1[[#This Row],[TC-G4-AS]]+Table1[[#This Row],[TC-G5-AS]]</f>
        <v>2</v>
      </c>
      <c r="I271" s="25">
        <v>1</v>
      </c>
      <c r="J271" s="25">
        <v>1</v>
      </c>
      <c r="L271" s="25" t="str">
        <f>SUBSTITUTE(Table1[[#This Row],[TeamID]],Table1[[#This Row],[Team Captain]]&amp;"/","")</f>
        <v>Tayven</v>
      </c>
      <c r="M271" s="25">
        <v>2</v>
      </c>
      <c r="N271" s="25">
        <v>2</v>
      </c>
      <c r="O271" s="25">
        <v>1</v>
      </c>
      <c r="R271" s="26">
        <f>Table1[[#This Row],[P-G1-AS]]+Table1[[#This Row],[P-G2-AS]]+Table1[[#This Row],[P-G3-AS]]+Table1[[#This Row],[P-G4-AS]]+Table1[[#This Row],[P-G5-AS]]</f>
        <v>5</v>
      </c>
      <c r="S271" s="25">
        <v>23.9</v>
      </c>
      <c r="T271" s="25">
        <v>1</v>
      </c>
      <c r="U271" s="25" t="s">
        <v>92</v>
      </c>
      <c r="V271" s="25">
        <v>2</v>
      </c>
      <c r="W271" s="25">
        <v>45</v>
      </c>
      <c r="X271" s="25">
        <v>0</v>
      </c>
      <c r="AA271" s="26">
        <f t="shared" si="23"/>
        <v>34.450000000000003</v>
      </c>
      <c r="AB271" s="25">
        <v>2.2000000000000002</v>
      </c>
      <c r="AC271" s="25">
        <v>1</v>
      </c>
      <c r="AD271" s="25" t="s">
        <v>86</v>
      </c>
      <c r="AE271" s="25">
        <v>1.4</v>
      </c>
      <c r="AF271" s="25">
        <v>1</v>
      </c>
      <c r="AG271" s="25" t="s">
        <v>86</v>
      </c>
      <c r="AH271" s="26">
        <f t="shared" si="24"/>
        <v>1.8</v>
      </c>
      <c r="AI271" s="25">
        <v>31.7</v>
      </c>
      <c r="AJ271" s="25" t="s">
        <v>92</v>
      </c>
      <c r="AK271" s="25">
        <v>34</v>
      </c>
      <c r="AN271" s="25">
        <v>0</v>
      </c>
      <c r="AO271" s="26">
        <f t="shared" si="25"/>
        <v>3</v>
      </c>
    </row>
    <row r="272" spans="1:41" ht="15" customHeight="1">
      <c r="A272" s="25" t="s">
        <v>69</v>
      </c>
      <c r="B272" s="25" t="s">
        <v>138</v>
      </c>
      <c r="C272" s="25" t="s">
        <v>43</v>
      </c>
      <c r="D272" s="25" t="s">
        <v>141</v>
      </c>
      <c r="E272" s="25" t="str">
        <f>LEFT(Table1[[#This Row],[TeamID]],FIND("/",Table1[[#This Row],[TeamID]])-1)</f>
        <v>Kevin</v>
      </c>
      <c r="F272" s="26">
        <f>Table1[[#This Row],[TC-G1-AS]]+Table1[[#This Row],[TC-G2-AS]]+Table1[[#This Row],[TC-G3-AS]]+Table1[[#This Row],[TC-G4-AS]]+Table1[[#This Row],[TC-G5-AS]]</f>
        <v>2</v>
      </c>
      <c r="G272" s="25">
        <v>1</v>
      </c>
      <c r="I272" s="25">
        <v>1</v>
      </c>
      <c r="L272" s="25" t="str">
        <f>SUBSTITUTE(Table1[[#This Row],[TeamID]],Table1[[#This Row],[Team Captain]]&amp;"/","")</f>
        <v>Mike H</v>
      </c>
      <c r="O272" s="25">
        <v>1</v>
      </c>
      <c r="R272" s="26">
        <f>Table1[[#This Row],[P-G1-AS]]+Table1[[#This Row],[P-G2-AS]]+Table1[[#This Row],[P-G3-AS]]+Table1[[#This Row],[P-G4-AS]]+Table1[[#This Row],[P-G5-AS]]</f>
        <v>1</v>
      </c>
      <c r="S272" s="25">
        <v>34.159999999999997</v>
      </c>
      <c r="T272" s="25">
        <v>1</v>
      </c>
      <c r="U272" s="25" t="s">
        <v>55</v>
      </c>
      <c r="V272" s="25">
        <v>4</v>
      </c>
      <c r="W272" s="25">
        <v>36.659999999999997</v>
      </c>
      <c r="X272" s="25">
        <v>1</v>
      </c>
      <c r="Y272" s="25" t="s">
        <v>55</v>
      </c>
      <c r="Z272" s="25">
        <v>6</v>
      </c>
      <c r="AA272" s="26">
        <f t="shared" si="23"/>
        <v>35.409999999999997</v>
      </c>
      <c r="AB272" s="25">
        <v>1.67</v>
      </c>
      <c r="AC272" s="25">
        <v>1</v>
      </c>
      <c r="AD272" s="25" t="s">
        <v>91</v>
      </c>
      <c r="AE272" s="25">
        <v>1.5</v>
      </c>
      <c r="AF272" s="25">
        <v>0</v>
      </c>
      <c r="AH272" s="26">
        <f t="shared" si="24"/>
        <v>1.585</v>
      </c>
      <c r="AI272" s="25">
        <v>54</v>
      </c>
      <c r="AJ272" s="25" t="s">
        <v>55</v>
      </c>
      <c r="AK272" s="25">
        <v>16</v>
      </c>
      <c r="AN272" s="25">
        <v>0</v>
      </c>
      <c r="AO272" s="26">
        <f t="shared" si="25"/>
        <v>3</v>
      </c>
    </row>
    <row r="273" spans="1:41" ht="15" customHeight="1">
      <c r="A273" s="25" t="s">
        <v>69</v>
      </c>
      <c r="B273" s="25" t="s">
        <v>138</v>
      </c>
      <c r="C273" s="25" t="s">
        <v>45</v>
      </c>
      <c r="D273" s="25" t="s">
        <v>145</v>
      </c>
      <c r="E273" s="25" t="str">
        <f>LEFT(Table1[[#This Row],[TeamID]],FIND("/",Table1[[#This Row],[TeamID]])-1)</f>
        <v>Brian</v>
      </c>
      <c r="F273" s="26">
        <f>Table1[[#This Row],[TC-G1-AS]]+Table1[[#This Row],[TC-G2-AS]]+Table1[[#This Row],[TC-G3-AS]]+Table1[[#This Row],[TC-G4-AS]]+Table1[[#This Row],[TC-G5-AS]]</f>
        <v>6</v>
      </c>
      <c r="G273" s="25">
        <v>1</v>
      </c>
      <c r="H273" s="25">
        <v>1</v>
      </c>
      <c r="I273" s="25">
        <v>1</v>
      </c>
      <c r="J273" s="25">
        <v>2</v>
      </c>
      <c r="K273" s="25">
        <v>1</v>
      </c>
      <c r="L273" s="25" t="str">
        <f>SUBSTITUTE(Table1[[#This Row],[TeamID]],Table1[[#This Row],[Team Captain]]&amp;"/","")</f>
        <v>David</v>
      </c>
      <c r="R273" s="26">
        <f>Table1[[#This Row],[P-G1-AS]]+Table1[[#This Row],[P-G2-AS]]+Table1[[#This Row],[P-G3-AS]]+Table1[[#This Row],[P-G4-AS]]+Table1[[#This Row],[P-G5-AS]]</f>
        <v>0</v>
      </c>
      <c r="S273" s="25">
        <v>33.130000000000003</v>
      </c>
      <c r="T273" s="25">
        <v>0</v>
      </c>
      <c r="W273" s="25">
        <v>37.31</v>
      </c>
      <c r="X273" s="25">
        <v>0</v>
      </c>
      <c r="AA273" s="26">
        <f t="shared" si="23"/>
        <v>35.22</v>
      </c>
      <c r="AB273" s="25">
        <v>1.35</v>
      </c>
      <c r="AC273" s="25">
        <v>0</v>
      </c>
      <c r="AE273" s="25">
        <v>1.42</v>
      </c>
      <c r="AF273" s="25">
        <v>1</v>
      </c>
      <c r="AG273" s="25" t="s">
        <v>113</v>
      </c>
      <c r="AH273" s="26">
        <f t="shared" si="24"/>
        <v>1.385</v>
      </c>
      <c r="AI273" s="25">
        <v>50.17</v>
      </c>
      <c r="AJ273" s="25" t="s">
        <v>96</v>
      </c>
      <c r="AK273" s="25">
        <v>36</v>
      </c>
      <c r="AL273" s="25" t="s">
        <v>113</v>
      </c>
      <c r="AM273" s="25">
        <v>31</v>
      </c>
      <c r="AN273" s="25">
        <v>1</v>
      </c>
      <c r="AO273" s="26">
        <f t="shared" si="25"/>
        <v>2</v>
      </c>
    </row>
    <row r="274" spans="1:41" ht="15" customHeight="1">
      <c r="A274" s="25" t="s">
        <v>70</v>
      </c>
      <c r="B274" s="25" t="s">
        <v>138</v>
      </c>
      <c r="C274" s="25" t="s">
        <v>43</v>
      </c>
      <c r="D274" s="25" t="s">
        <v>140</v>
      </c>
      <c r="E274" s="25" t="str">
        <f>LEFT(Table1[[#This Row],[TeamID]],FIND("/",Table1[[#This Row],[TeamID]])-1)</f>
        <v>Todd</v>
      </c>
      <c r="F274" s="26">
        <f>Table1[[#This Row],[TC-G1-AS]]+Table1[[#This Row],[TC-G2-AS]]+Table1[[#This Row],[TC-G3-AS]]+Table1[[#This Row],[TC-G4-AS]]+Table1[[#This Row],[TC-G5-AS]]</f>
        <v>1</v>
      </c>
      <c r="K274" s="25">
        <v>1</v>
      </c>
      <c r="L274" s="25" t="str">
        <f>SUBSTITUTE(Table1[[#This Row],[TeamID]],Table1[[#This Row],[Team Captain]]&amp;"/","")</f>
        <v>Tayven</v>
      </c>
      <c r="M274" s="25">
        <v>1</v>
      </c>
      <c r="P274" s="25">
        <v>1</v>
      </c>
      <c r="R274" s="26">
        <f>Table1[[#This Row],[P-G1-AS]]+Table1[[#This Row],[P-G2-AS]]+Table1[[#This Row],[P-G3-AS]]+Table1[[#This Row],[P-G4-AS]]+Table1[[#This Row],[P-G5-AS]]</f>
        <v>2</v>
      </c>
      <c r="S274" s="25">
        <v>37.380000000000003</v>
      </c>
      <c r="T274" s="25">
        <v>0</v>
      </c>
      <c r="W274" s="25">
        <v>17.079999999999998</v>
      </c>
      <c r="X274" s="25">
        <v>1</v>
      </c>
      <c r="Y274" s="25" t="s">
        <v>92</v>
      </c>
      <c r="Z274" s="25">
        <v>2</v>
      </c>
      <c r="AA274" s="26">
        <f t="shared" si="23"/>
        <v>27.23</v>
      </c>
      <c r="AB274" s="25">
        <v>1.85</v>
      </c>
      <c r="AC274" s="25">
        <v>0</v>
      </c>
      <c r="AE274" s="25">
        <v>1.94</v>
      </c>
      <c r="AF274" s="25">
        <v>0</v>
      </c>
      <c r="AH274" s="26">
        <f t="shared" si="24"/>
        <v>1.895</v>
      </c>
      <c r="AI274" s="25">
        <v>25.08</v>
      </c>
      <c r="AJ274" s="25" t="s">
        <v>86</v>
      </c>
      <c r="AK274" s="25">
        <v>51</v>
      </c>
      <c r="AL274" s="25" t="s">
        <v>86</v>
      </c>
      <c r="AM274" s="25">
        <v>4</v>
      </c>
      <c r="AN274" s="25">
        <v>1</v>
      </c>
      <c r="AO274" s="26">
        <f t="shared" si="25"/>
        <v>2</v>
      </c>
    </row>
    <row r="275" spans="1:41" ht="15" customHeight="1">
      <c r="A275" s="25" t="s">
        <v>70</v>
      </c>
      <c r="B275" s="25" t="s">
        <v>138</v>
      </c>
      <c r="C275" s="25" t="s">
        <v>45</v>
      </c>
      <c r="D275" s="25" t="s">
        <v>146</v>
      </c>
      <c r="E275" s="25" t="str">
        <f>LEFT(Table1[[#This Row],[TeamID]],FIND("/",Table1[[#This Row],[TeamID]])-1)</f>
        <v>Paul</v>
      </c>
      <c r="F275" s="26">
        <f>Table1[[#This Row],[TC-G1-AS]]+Table1[[#This Row],[TC-G2-AS]]+Table1[[#This Row],[TC-G3-AS]]+Table1[[#This Row],[TC-G4-AS]]+Table1[[#This Row],[TC-G5-AS]]</f>
        <v>0</v>
      </c>
      <c r="L275" s="25" t="str">
        <f>SUBSTITUTE(Table1[[#This Row],[TeamID]],Table1[[#This Row],[Team Captain]]&amp;"/","")</f>
        <v>Neil</v>
      </c>
      <c r="O275" s="25">
        <v>2</v>
      </c>
      <c r="R275" s="26">
        <f>Table1[[#This Row],[P-G1-AS]]+Table1[[#This Row],[P-G2-AS]]+Table1[[#This Row],[P-G3-AS]]+Table1[[#This Row],[P-G4-AS]]+Table1[[#This Row],[P-G5-AS]]</f>
        <v>2</v>
      </c>
      <c r="S275" s="25">
        <v>38.54</v>
      </c>
      <c r="T275" s="25">
        <v>1</v>
      </c>
      <c r="U275" s="25" t="s">
        <v>94</v>
      </c>
      <c r="V275" s="25">
        <v>89</v>
      </c>
      <c r="W275" s="25">
        <v>16.63</v>
      </c>
      <c r="X275" s="25">
        <v>0</v>
      </c>
      <c r="AA275" s="26">
        <f t="shared" ref="AA275:AA297" si="26">(S275+W275)/2</f>
        <v>27.585000000000001</v>
      </c>
      <c r="AB275" s="25">
        <v>2.15</v>
      </c>
      <c r="AC275" s="25">
        <v>1</v>
      </c>
      <c r="AD275" s="25" t="s">
        <v>97</v>
      </c>
      <c r="AE275" s="25">
        <v>1.82</v>
      </c>
      <c r="AF275" s="25">
        <v>1</v>
      </c>
      <c r="AG275" s="25" t="s">
        <v>94</v>
      </c>
      <c r="AH275" s="26">
        <f t="shared" ref="AH275:AH297" si="27">(AB275+AE275)/2</f>
        <v>1.9849999999999999</v>
      </c>
      <c r="AI275" s="25">
        <v>24.83</v>
      </c>
      <c r="AJ275" s="25" t="s">
        <v>94</v>
      </c>
      <c r="AK275" s="25">
        <v>50</v>
      </c>
      <c r="AN275" s="25">
        <v>0</v>
      </c>
      <c r="AO275" s="26">
        <f t="shared" ref="AO275:AO306" si="28">T275+AC275+AN275+AF275+X275</f>
        <v>3</v>
      </c>
    </row>
    <row r="276" spans="1:41" ht="15" customHeight="1">
      <c r="A276" s="25" t="s">
        <v>71</v>
      </c>
      <c r="B276" s="25" t="s">
        <v>138</v>
      </c>
      <c r="C276" s="25" t="s">
        <v>43</v>
      </c>
      <c r="D276" s="25" t="s">
        <v>143</v>
      </c>
      <c r="E276" s="25" t="str">
        <f>LEFT(Table1[[#This Row],[TeamID]],FIND("/",Table1[[#This Row],[TeamID]])-1)</f>
        <v>Daniel</v>
      </c>
      <c r="F276" s="26">
        <f>Table1[[#This Row],[TC-G1-AS]]+Table1[[#This Row],[TC-G2-AS]]+Table1[[#This Row],[TC-G3-AS]]+Table1[[#This Row],[TC-G4-AS]]+Table1[[#This Row],[TC-G5-AS]]</f>
        <v>3</v>
      </c>
      <c r="G276" s="25">
        <v>1</v>
      </c>
      <c r="H276" s="25">
        <v>2</v>
      </c>
      <c r="L276" s="25" t="str">
        <f>SUBSTITUTE(Table1[[#This Row],[TeamID]],Table1[[#This Row],[Team Captain]]&amp;"/","")</f>
        <v>Mark</v>
      </c>
      <c r="R276" s="26">
        <f>Table1[[#This Row],[P-G1-AS]]+Table1[[#This Row],[P-G2-AS]]+Table1[[#This Row],[P-G3-AS]]+Table1[[#This Row],[P-G4-AS]]+Table1[[#This Row],[P-G5-AS]]</f>
        <v>0</v>
      </c>
      <c r="S276" s="25">
        <v>41.33</v>
      </c>
      <c r="T276" s="25">
        <v>0</v>
      </c>
      <c r="W276" s="25">
        <v>40.42</v>
      </c>
      <c r="X276" s="25">
        <v>0</v>
      </c>
      <c r="AA276" s="26">
        <f t="shared" si="26"/>
        <v>40.875</v>
      </c>
      <c r="AB276" s="25">
        <v>1.33</v>
      </c>
      <c r="AC276" s="25">
        <v>0</v>
      </c>
      <c r="AE276" s="25">
        <v>1.68</v>
      </c>
      <c r="AF276" s="25">
        <v>1</v>
      </c>
      <c r="AG276" s="25" t="s">
        <v>89</v>
      </c>
      <c r="AH276" s="26">
        <f t="shared" si="27"/>
        <v>1.5049999999999999</v>
      </c>
      <c r="AI276" s="25">
        <v>47.5</v>
      </c>
      <c r="AJ276" s="25" t="s">
        <v>89</v>
      </c>
      <c r="AK276" s="25">
        <v>65</v>
      </c>
      <c r="AN276" s="25">
        <v>0</v>
      </c>
      <c r="AO276" s="26">
        <f t="shared" si="28"/>
        <v>1</v>
      </c>
    </row>
    <row r="277" spans="1:41" ht="15" customHeight="1">
      <c r="A277" s="25" t="s">
        <v>71</v>
      </c>
      <c r="B277" s="25" t="s">
        <v>138</v>
      </c>
      <c r="C277" s="25" t="s">
        <v>45</v>
      </c>
      <c r="D277" s="25" t="s">
        <v>141</v>
      </c>
      <c r="E277" s="25" t="str">
        <f>LEFT(Table1[[#This Row],[TeamID]],FIND("/",Table1[[#This Row],[TeamID]])-1)</f>
        <v>Kevin</v>
      </c>
      <c r="F277" s="26">
        <f>Table1[[#This Row],[TC-G1-AS]]+Table1[[#This Row],[TC-G2-AS]]+Table1[[#This Row],[TC-G3-AS]]+Table1[[#This Row],[TC-G4-AS]]+Table1[[#This Row],[TC-G5-AS]]</f>
        <v>2</v>
      </c>
      <c r="I277" s="25">
        <v>2</v>
      </c>
      <c r="L277" s="25" t="str">
        <f>SUBSTITUTE(Table1[[#This Row],[TeamID]],Table1[[#This Row],[Team Captain]]&amp;"/","")</f>
        <v>Mike H</v>
      </c>
      <c r="O277" s="25">
        <v>1</v>
      </c>
      <c r="Q277" s="25">
        <v>2</v>
      </c>
      <c r="R277" s="26">
        <f>Table1[[#This Row],[P-G1-AS]]+Table1[[#This Row],[P-G2-AS]]+Table1[[#This Row],[P-G3-AS]]+Table1[[#This Row],[P-G4-AS]]+Table1[[#This Row],[P-G5-AS]]</f>
        <v>3</v>
      </c>
      <c r="S277" s="25">
        <v>39.549999999999997</v>
      </c>
      <c r="T277" s="25">
        <v>1</v>
      </c>
      <c r="U277" s="25" t="s">
        <v>55</v>
      </c>
      <c r="V277" s="25">
        <v>5</v>
      </c>
      <c r="W277" s="25">
        <v>42.94</v>
      </c>
      <c r="X277" s="25">
        <v>1</v>
      </c>
      <c r="Y277" s="25" t="s">
        <v>55</v>
      </c>
      <c r="Z277" s="25">
        <v>16</v>
      </c>
      <c r="AA277" s="26">
        <f t="shared" si="26"/>
        <v>41.244999999999997</v>
      </c>
      <c r="AB277" s="25">
        <v>2.58</v>
      </c>
      <c r="AC277" s="25">
        <v>1</v>
      </c>
      <c r="AD277" s="25" t="s">
        <v>55</v>
      </c>
      <c r="AE277" s="25">
        <v>1.21</v>
      </c>
      <c r="AF277" s="25">
        <v>0</v>
      </c>
      <c r="AH277" s="26">
        <f t="shared" si="27"/>
        <v>1.895</v>
      </c>
      <c r="AI277" s="25">
        <v>45.15</v>
      </c>
      <c r="AJ277" s="25" t="s">
        <v>91</v>
      </c>
      <c r="AK277" s="25">
        <v>20</v>
      </c>
      <c r="AL277" s="25" t="s">
        <v>55</v>
      </c>
      <c r="AM277" s="25">
        <v>41</v>
      </c>
      <c r="AN277" s="25">
        <v>1</v>
      </c>
      <c r="AO277" s="26">
        <f t="shared" si="28"/>
        <v>4</v>
      </c>
    </row>
    <row r="278" spans="1:41" ht="15" customHeight="1">
      <c r="A278" s="25" t="s">
        <v>72</v>
      </c>
      <c r="B278" s="25" t="s">
        <v>138</v>
      </c>
      <c r="C278" s="25" t="s">
        <v>43</v>
      </c>
      <c r="D278" s="25" t="s">
        <v>145</v>
      </c>
      <c r="E278" s="25" t="str">
        <f>LEFT(Table1[[#This Row],[TeamID]],FIND("/",Table1[[#This Row],[TeamID]])-1)</f>
        <v>Brian</v>
      </c>
      <c r="F278" s="26">
        <f>Table1[[#This Row],[TC-G1-AS]]+Table1[[#This Row],[TC-G2-AS]]+Table1[[#This Row],[TC-G3-AS]]+Table1[[#This Row],[TC-G4-AS]]+Table1[[#This Row],[TC-G5-AS]]</f>
        <v>1</v>
      </c>
      <c r="J278" s="25">
        <v>1</v>
      </c>
      <c r="L278" s="25" t="str">
        <f>SUBSTITUTE(Table1[[#This Row],[TeamID]],Table1[[#This Row],[Team Captain]]&amp;"/","")</f>
        <v>David</v>
      </c>
      <c r="R278" s="26">
        <f>Table1[[#This Row],[P-G1-AS]]+Table1[[#This Row],[P-G2-AS]]+Table1[[#This Row],[P-G3-AS]]+Table1[[#This Row],[P-G4-AS]]+Table1[[#This Row],[P-G5-AS]]</f>
        <v>0</v>
      </c>
      <c r="S278" s="25">
        <v>25.84</v>
      </c>
      <c r="T278" s="25">
        <v>0</v>
      </c>
      <c r="W278" s="25">
        <v>37.909999999999997</v>
      </c>
      <c r="X278" s="25">
        <v>0</v>
      </c>
      <c r="AA278" s="26">
        <f t="shared" si="26"/>
        <v>31.875</v>
      </c>
      <c r="AB278" s="25">
        <v>1.43</v>
      </c>
      <c r="AC278" s="25">
        <v>0</v>
      </c>
      <c r="AE278" s="25">
        <v>1</v>
      </c>
      <c r="AF278" s="25">
        <v>0</v>
      </c>
      <c r="AH278" s="26">
        <f t="shared" si="27"/>
        <v>1.2149999999999999</v>
      </c>
      <c r="AI278" s="25">
        <v>19.55</v>
      </c>
      <c r="AJ278" s="25" t="s">
        <v>96</v>
      </c>
      <c r="AK278" s="25">
        <v>56</v>
      </c>
      <c r="AN278" s="25">
        <v>0</v>
      </c>
      <c r="AO278" s="26">
        <f t="shared" si="28"/>
        <v>0</v>
      </c>
    </row>
    <row r="279" spans="1:41" ht="15" customHeight="1">
      <c r="A279" s="25" t="s">
        <v>72</v>
      </c>
      <c r="B279" s="25" t="s">
        <v>138</v>
      </c>
      <c r="C279" s="25" t="s">
        <v>45</v>
      </c>
      <c r="D279" s="25" t="s">
        <v>142</v>
      </c>
      <c r="E279" s="25" t="str">
        <f>LEFT(Table1[[#This Row],[TeamID]],FIND("/",Table1[[#This Row],[TeamID]])-1)</f>
        <v>Clarence</v>
      </c>
      <c r="F279" s="26">
        <f>Table1[[#This Row],[TC-G1-AS]]+Table1[[#This Row],[TC-G2-AS]]+Table1[[#This Row],[TC-G3-AS]]+Table1[[#This Row],[TC-G4-AS]]+Table1[[#This Row],[TC-G5-AS]]</f>
        <v>1</v>
      </c>
      <c r="H279" s="25">
        <v>1</v>
      </c>
      <c r="L279" s="25" t="str">
        <f>SUBSTITUTE(Table1[[#This Row],[TeamID]],Table1[[#This Row],[Team Captain]]&amp;"/","")</f>
        <v>Troy</v>
      </c>
      <c r="R279" s="26">
        <f>Table1[[#This Row],[P-G1-AS]]+Table1[[#This Row],[P-G2-AS]]+Table1[[#This Row],[P-G3-AS]]+Table1[[#This Row],[P-G4-AS]]+Table1[[#This Row],[P-G5-AS]]</f>
        <v>0</v>
      </c>
      <c r="S279" s="25">
        <v>27.33</v>
      </c>
      <c r="T279" s="25">
        <v>1</v>
      </c>
      <c r="U279" s="25" t="s">
        <v>87</v>
      </c>
      <c r="V279" s="25">
        <v>4</v>
      </c>
      <c r="W279" s="25">
        <v>41.75</v>
      </c>
      <c r="X279" s="25">
        <v>1</v>
      </c>
      <c r="Y279" s="25" t="s">
        <v>87</v>
      </c>
      <c r="Z279" s="25">
        <v>8</v>
      </c>
      <c r="AA279" s="26">
        <f t="shared" si="26"/>
        <v>34.54</v>
      </c>
      <c r="AB279" s="25">
        <v>2</v>
      </c>
      <c r="AC279" s="25">
        <v>1</v>
      </c>
      <c r="AD279" s="25" t="s">
        <v>87</v>
      </c>
      <c r="AE279" s="25">
        <v>0.94</v>
      </c>
      <c r="AF279" s="25">
        <v>1</v>
      </c>
      <c r="AG279" s="25" t="s">
        <v>87</v>
      </c>
      <c r="AH279" s="26">
        <f t="shared" si="27"/>
        <v>1.47</v>
      </c>
      <c r="AI279" s="25">
        <v>29.13</v>
      </c>
      <c r="AJ279" s="25" t="s">
        <v>129</v>
      </c>
      <c r="AK279" s="25">
        <v>22</v>
      </c>
      <c r="AL279" s="25" t="s">
        <v>87</v>
      </c>
      <c r="AM279" s="25">
        <v>2</v>
      </c>
      <c r="AN279" s="25">
        <v>1</v>
      </c>
      <c r="AO279" s="26">
        <f t="shared" si="28"/>
        <v>5</v>
      </c>
    </row>
    <row r="280" spans="1:41" ht="15" customHeight="1">
      <c r="A280" s="25" t="s">
        <v>73</v>
      </c>
      <c r="B280" s="25" t="s">
        <v>138</v>
      </c>
      <c r="C280" s="25" t="s">
        <v>43</v>
      </c>
      <c r="D280" s="25" t="s">
        <v>139</v>
      </c>
      <c r="E280" s="25" t="str">
        <f>LEFT(Table1[[#This Row],[TeamID]],FIND("/",Table1[[#This Row],[TeamID]])-1)</f>
        <v>Mike C</v>
      </c>
      <c r="F280" s="26">
        <f>Table1[[#This Row],[TC-G1-AS]]+Table1[[#This Row],[TC-G2-AS]]+Table1[[#This Row],[TC-G3-AS]]+Table1[[#This Row],[TC-G4-AS]]+Table1[[#This Row],[TC-G5-AS]]</f>
        <v>1</v>
      </c>
      <c r="J280" s="25">
        <v>1</v>
      </c>
      <c r="L280" s="25" t="str">
        <f>SUBSTITUTE(Table1[[#This Row],[TeamID]],Table1[[#This Row],[Team Captain]]&amp;"/","")</f>
        <v>Tristan</v>
      </c>
      <c r="M280" s="25">
        <v>1</v>
      </c>
      <c r="O280" s="25">
        <v>1</v>
      </c>
      <c r="P280" s="25">
        <v>1</v>
      </c>
      <c r="R280" s="26">
        <f>Table1[[#This Row],[P-G1-AS]]+Table1[[#This Row],[P-G2-AS]]+Table1[[#This Row],[P-G3-AS]]+Table1[[#This Row],[P-G4-AS]]+Table1[[#This Row],[P-G5-AS]]</f>
        <v>3</v>
      </c>
      <c r="S280" s="25">
        <v>37.380000000000003</v>
      </c>
      <c r="T280" s="25">
        <v>0</v>
      </c>
      <c r="W280" s="25">
        <v>44.21</v>
      </c>
      <c r="X280" s="25">
        <v>1</v>
      </c>
      <c r="Y280" s="25" t="s">
        <v>84</v>
      </c>
      <c r="Z280" s="25">
        <v>22</v>
      </c>
      <c r="AA280" s="26">
        <f t="shared" si="26"/>
        <v>40.795000000000002</v>
      </c>
      <c r="AB280" s="25">
        <v>1.28</v>
      </c>
      <c r="AC280" s="25">
        <v>0</v>
      </c>
      <c r="AE280" s="25">
        <v>2</v>
      </c>
      <c r="AF280" s="25">
        <v>1</v>
      </c>
      <c r="AG280" s="25" t="s">
        <v>84</v>
      </c>
      <c r="AH280" s="26">
        <f t="shared" si="27"/>
        <v>1.6400000000000001</v>
      </c>
      <c r="AI280" s="25">
        <v>14.94</v>
      </c>
      <c r="AJ280" s="25" t="s">
        <v>121</v>
      </c>
      <c r="AK280" s="25">
        <v>10</v>
      </c>
      <c r="AL280" s="25" t="s">
        <v>121</v>
      </c>
      <c r="AM280" s="25">
        <v>2</v>
      </c>
      <c r="AN280" s="25">
        <v>1</v>
      </c>
      <c r="AO280" s="26">
        <f t="shared" si="28"/>
        <v>3</v>
      </c>
    </row>
    <row r="281" spans="1:41" ht="15" customHeight="1">
      <c r="A281" s="25" t="s">
        <v>73</v>
      </c>
      <c r="B281" s="25" t="s">
        <v>138</v>
      </c>
      <c r="C281" s="25" t="s">
        <v>45</v>
      </c>
      <c r="D281" s="25" t="s">
        <v>144</v>
      </c>
      <c r="E281" s="25" t="str">
        <f>LEFT(Table1[[#This Row],[TeamID]],FIND("/",Table1[[#This Row],[TeamID]])-1)</f>
        <v>Mike A</v>
      </c>
      <c r="F281" s="26">
        <f>Table1[[#This Row],[TC-G1-AS]]+Table1[[#This Row],[TC-G2-AS]]+Table1[[#This Row],[TC-G3-AS]]+Table1[[#This Row],[TC-G4-AS]]+Table1[[#This Row],[TC-G5-AS]]</f>
        <v>0</v>
      </c>
      <c r="L281" s="25" t="str">
        <f>SUBSTITUTE(Table1[[#This Row],[TeamID]],Table1[[#This Row],[Team Captain]]&amp;"/","")</f>
        <v>Jason</v>
      </c>
      <c r="R281" s="26">
        <f>Table1[[#This Row],[P-G1-AS]]+Table1[[#This Row],[P-G2-AS]]+Table1[[#This Row],[P-G3-AS]]+Table1[[#This Row],[P-G4-AS]]+Table1[[#This Row],[P-G5-AS]]</f>
        <v>0</v>
      </c>
      <c r="S281" s="25">
        <v>39.549999999999997</v>
      </c>
      <c r="T281" s="25">
        <v>1</v>
      </c>
      <c r="U281" s="25" t="s">
        <v>99</v>
      </c>
      <c r="V281" s="25">
        <v>32</v>
      </c>
      <c r="W281" s="25">
        <v>40.42</v>
      </c>
      <c r="X281" s="25">
        <v>0</v>
      </c>
      <c r="AA281" s="26">
        <f t="shared" si="26"/>
        <v>39.984999999999999</v>
      </c>
      <c r="AB281" s="25">
        <v>1.63</v>
      </c>
      <c r="AC281" s="25">
        <v>1</v>
      </c>
      <c r="AD281" s="25" t="s">
        <v>57</v>
      </c>
      <c r="AE281" s="25">
        <v>1.06</v>
      </c>
      <c r="AF281" s="25">
        <v>0</v>
      </c>
      <c r="AH281" s="26">
        <f t="shared" si="27"/>
        <v>1.345</v>
      </c>
      <c r="AI281" s="25">
        <v>13.68</v>
      </c>
      <c r="AJ281" s="25" t="s">
        <v>99</v>
      </c>
      <c r="AK281" s="25">
        <v>16</v>
      </c>
      <c r="AN281" s="25">
        <v>0</v>
      </c>
      <c r="AO281" s="26">
        <f t="shared" si="28"/>
        <v>2</v>
      </c>
    </row>
    <row r="282" spans="1:41" ht="15" customHeight="1">
      <c r="A282" s="25" t="s">
        <v>74</v>
      </c>
      <c r="B282" s="25" t="s">
        <v>138</v>
      </c>
      <c r="C282" s="25" t="s">
        <v>43</v>
      </c>
      <c r="D282" s="25" t="s">
        <v>144</v>
      </c>
      <c r="E282" s="25" t="str">
        <f>LEFT(Table1[[#This Row],[TeamID]],FIND("/",Table1[[#This Row],[TeamID]])-1)</f>
        <v>Mike A</v>
      </c>
      <c r="F282" s="26">
        <f>Table1[[#This Row],[TC-G1-AS]]+Table1[[#This Row],[TC-G2-AS]]+Table1[[#This Row],[TC-G3-AS]]+Table1[[#This Row],[TC-G4-AS]]+Table1[[#This Row],[TC-G5-AS]]</f>
        <v>0</v>
      </c>
      <c r="L282" s="25" t="str">
        <f>SUBSTITUTE(Table1[[#This Row],[TeamID]],Table1[[#This Row],[Team Captain]]&amp;"/","")</f>
        <v>Jason</v>
      </c>
      <c r="N282" s="25">
        <v>2</v>
      </c>
      <c r="R282" s="26">
        <f>Table1[[#This Row],[P-G1-AS]]+Table1[[#This Row],[P-G2-AS]]+Table1[[#This Row],[P-G3-AS]]+Table1[[#This Row],[P-G4-AS]]+Table1[[#This Row],[P-G5-AS]]</f>
        <v>2</v>
      </c>
      <c r="S282" s="25">
        <v>50.1</v>
      </c>
      <c r="T282" s="25">
        <v>1</v>
      </c>
      <c r="U282" s="25" t="s">
        <v>99</v>
      </c>
      <c r="V282" s="25">
        <v>46</v>
      </c>
      <c r="W282" s="25">
        <v>28.91</v>
      </c>
      <c r="X282" s="25">
        <v>0</v>
      </c>
      <c r="AA282" s="26">
        <f t="shared" si="26"/>
        <v>39.505000000000003</v>
      </c>
      <c r="AB282" s="25">
        <v>1.38</v>
      </c>
      <c r="AC282" s="25">
        <v>0</v>
      </c>
      <c r="AE282" s="25">
        <v>1.25</v>
      </c>
      <c r="AF282" s="25">
        <v>1</v>
      </c>
      <c r="AG282" s="25" t="s">
        <v>99</v>
      </c>
      <c r="AH282" s="26">
        <f t="shared" si="27"/>
        <v>1.3149999999999999</v>
      </c>
      <c r="AI282" s="25">
        <v>24.41</v>
      </c>
      <c r="AJ282" s="25" t="s">
        <v>99</v>
      </c>
      <c r="AK282" s="25">
        <v>36</v>
      </c>
      <c r="AL282" s="25" t="s">
        <v>99</v>
      </c>
      <c r="AM282" s="25">
        <v>4</v>
      </c>
      <c r="AN282" s="25">
        <v>1</v>
      </c>
      <c r="AO282" s="26">
        <f t="shared" si="28"/>
        <v>3</v>
      </c>
    </row>
    <row r="283" spans="1:41" ht="15" customHeight="1">
      <c r="A283" s="25" t="s">
        <v>74</v>
      </c>
      <c r="B283" s="25" t="s">
        <v>138</v>
      </c>
      <c r="C283" s="25" t="s">
        <v>45</v>
      </c>
      <c r="D283" s="25" t="s">
        <v>145</v>
      </c>
      <c r="E283" s="25" t="str">
        <f>LEFT(Table1[[#This Row],[TeamID]],FIND("/",Table1[[#This Row],[TeamID]])-1)</f>
        <v>Brian</v>
      </c>
      <c r="F283" s="26">
        <f>Table1[[#This Row],[TC-G1-AS]]+Table1[[#This Row],[TC-G2-AS]]+Table1[[#This Row],[TC-G3-AS]]+Table1[[#This Row],[TC-G4-AS]]+Table1[[#This Row],[TC-G5-AS]]</f>
        <v>2</v>
      </c>
      <c r="H283" s="25">
        <v>1</v>
      </c>
      <c r="K283" s="25">
        <v>1</v>
      </c>
      <c r="L283" s="25" t="str">
        <f>SUBSTITUTE(Table1[[#This Row],[TeamID]],Table1[[#This Row],[Team Captain]]&amp;"/","")</f>
        <v>David</v>
      </c>
      <c r="O283" s="25">
        <v>1</v>
      </c>
      <c r="R283" s="26">
        <f>Table1[[#This Row],[P-G1-AS]]+Table1[[#This Row],[P-G2-AS]]+Table1[[#This Row],[P-G3-AS]]+Table1[[#This Row],[P-G4-AS]]+Table1[[#This Row],[P-G5-AS]]</f>
        <v>1</v>
      </c>
      <c r="S283" s="25">
        <v>41.33</v>
      </c>
      <c r="T283" s="25">
        <v>0</v>
      </c>
      <c r="W283" s="25">
        <v>42.94</v>
      </c>
      <c r="X283" s="25">
        <v>1</v>
      </c>
      <c r="Y283" s="25" t="s">
        <v>96</v>
      </c>
      <c r="Z283" s="25">
        <v>8</v>
      </c>
      <c r="AA283" s="26">
        <f t="shared" si="26"/>
        <v>42.134999999999998</v>
      </c>
      <c r="AB283" s="25">
        <v>1.86</v>
      </c>
      <c r="AC283" s="25">
        <v>1</v>
      </c>
      <c r="AD283" s="25" t="s">
        <v>113</v>
      </c>
      <c r="AE283" s="25">
        <v>1</v>
      </c>
      <c r="AF283" s="25">
        <v>0</v>
      </c>
      <c r="AH283" s="26">
        <f t="shared" si="27"/>
        <v>1.4300000000000002</v>
      </c>
      <c r="AI283" s="25">
        <v>22.92</v>
      </c>
      <c r="AJ283" s="25" t="s">
        <v>113</v>
      </c>
      <c r="AK283" s="25">
        <v>42</v>
      </c>
      <c r="AN283" s="25">
        <v>0</v>
      </c>
      <c r="AO283" s="26">
        <f t="shared" si="28"/>
        <v>2</v>
      </c>
    </row>
    <row r="284" spans="1:41" ht="15" customHeight="1">
      <c r="A284" s="25" t="s">
        <v>75</v>
      </c>
      <c r="B284" s="25" t="s">
        <v>138</v>
      </c>
      <c r="C284" s="25" t="s">
        <v>43</v>
      </c>
      <c r="D284" s="25" t="s">
        <v>142</v>
      </c>
      <c r="E284" s="25" t="str">
        <f>LEFT(Table1[[#This Row],[TeamID]],FIND("/",Table1[[#This Row],[TeamID]])-1)</f>
        <v>Clarence</v>
      </c>
      <c r="F284" s="26">
        <f>Table1[[#This Row],[TC-G1-AS]]+Table1[[#This Row],[TC-G2-AS]]+Table1[[#This Row],[TC-G3-AS]]+Table1[[#This Row],[TC-G4-AS]]+Table1[[#This Row],[TC-G5-AS]]</f>
        <v>0</v>
      </c>
      <c r="L284" s="25" t="str">
        <f>SUBSTITUTE(Table1[[#This Row],[TeamID]],Table1[[#This Row],[Team Captain]]&amp;"/","")</f>
        <v>Troy</v>
      </c>
      <c r="R284" s="26">
        <f>Table1[[#This Row],[P-G1-AS]]+Table1[[#This Row],[P-G2-AS]]+Table1[[#This Row],[P-G3-AS]]+Table1[[#This Row],[P-G4-AS]]+Table1[[#This Row],[P-G5-AS]]</f>
        <v>0</v>
      </c>
      <c r="S284" s="25">
        <v>36.69</v>
      </c>
      <c r="T284" s="25">
        <v>0</v>
      </c>
      <c r="W284" s="25">
        <v>31.98</v>
      </c>
      <c r="X284" s="25">
        <v>1</v>
      </c>
      <c r="Y284" s="25" t="s">
        <v>87</v>
      </c>
      <c r="Z284" s="25">
        <v>4</v>
      </c>
      <c r="AA284" s="26">
        <f t="shared" si="26"/>
        <v>34.335000000000001</v>
      </c>
      <c r="AB284" s="25">
        <v>1.28</v>
      </c>
      <c r="AC284" s="25">
        <v>0</v>
      </c>
      <c r="AE284" s="25">
        <v>1.1299999999999999</v>
      </c>
      <c r="AF284" s="25">
        <v>0</v>
      </c>
      <c r="AH284" s="26">
        <f t="shared" si="27"/>
        <v>1.2050000000000001</v>
      </c>
      <c r="AI284" s="25">
        <v>31.44</v>
      </c>
      <c r="AJ284" s="25" t="s">
        <v>129</v>
      </c>
      <c r="AK284" s="25">
        <v>93</v>
      </c>
      <c r="AN284" s="25">
        <v>0</v>
      </c>
      <c r="AO284" s="26">
        <f t="shared" si="28"/>
        <v>1</v>
      </c>
    </row>
    <row r="285" spans="1:41" ht="15" customHeight="1">
      <c r="A285" s="25" t="s">
        <v>75</v>
      </c>
      <c r="B285" s="25" t="s">
        <v>138</v>
      </c>
      <c r="C285" s="25" t="s">
        <v>45</v>
      </c>
      <c r="D285" s="25" t="s">
        <v>139</v>
      </c>
      <c r="E285" s="25" t="str">
        <f>LEFT(Table1[[#This Row],[TeamID]],FIND("/",Table1[[#This Row],[TeamID]])-1)</f>
        <v>Mike C</v>
      </c>
      <c r="F285" s="26">
        <f>Table1[[#This Row],[TC-G1-AS]]+Table1[[#This Row],[TC-G2-AS]]+Table1[[#This Row],[TC-G3-AS]]+Table1[[#This Row],[TC-G4-AS]]+Table1[[#This Row],[TC-G5-AS]]</f>
        <v>0</v>
      </c>
      <c r="L285" s="25" t="str">
        <f>SUBSTITUTE(Table1[[#This Row],[TeamID]],Table1[[#This Row],[Team Captain]]&amp;"/","")</f>
        <v>Tristan</v>
      </c>
      <c r="P285" s="25">
        <v>2</v>
      </c>
      <c r="R285" s="26">
        <f>Table1[[#This Row],[P-G1-AS]]+Table1[[#This Row],[P-G2-AS]]+Table1[[#This Row],[P-G3-AS]]+Table1[[#This Row],[P-G4-AS]]+Table1[[#This Row],[P-G5-AS]]</f>
        <v>2</v>
      </c>
      <c r="S285" s="25">
        <v>39.549999999999997</v>
      </c>
      <c r="T285" s="25">
        <v>1</v>
      </c>
      <c r="U285" s="25" t="s">
        <v>84</v>
      </c>
      <c r="V285" s="25">
        <v>6</v>
      </c>
      <c r="W285" s="25">
        <v>28.25</v>
      </c>
      <c r="X285" s="25">
        <v>0</v>
      </c>
      <c r="AA285" s="26">
        <f t="shared" si="26"/>
        <v>33.9</v>
      </c>
      <c r="AB285" s="25">
        <v>1.35</v>
      </c>
      <c r="AC285" s="25">
        <v>1</v>
      </c>
      <c r="AD285" s="25" t="s">
        <v>84</v>
      </c>
      <c r="AE285" s="25">
        <v>1.73</v>
      </c>
      <c r="AF285" s="25">
        <v>1</v>
      </c>
      <c r="AG285" s="25" t="s">
        <v>84</v>
      </c>
      <c r="AH285" s="26">
        <f t="shared" si="27"/>
        <v>1.54</v>
      </c>
      <c r="AI285" s="25">
        <v>31.14</v>
      </c>
      <c r="AJ285" s="25" t="s">
        <v>84</v>
      </c>
      <c r="AK285" s="25">
        <v>32</v>
      </c>
      <c r="AL285" s="25" t="s">
        <v>121</v>
      </c>
      <c r="AM285" s="25">
        <v>32</v>
      </c>
      <c r="AN285" s="25">
        <v>1</v>
      </c>
      <c r="AO285" s="26">
        <f t="shared" si="28"/>
        <v>4</v>
      </c>
    </row>
    <row r="286" spans="1:41" ht="15" customHeight="1">
      <c r="A286" s="25" t="s">
        <v>76</v>
      </c>
      <c r="B286" s="25" t="s">
        <v>138</v>
      </c>
      <c r="C286" s="25" t="s">
        <v>43</v>
      </c>
      <c r="D286" s="25" t="s">
        <v>146</v>
      </c>
      <c r="E286" s="25" t="str">
        <f>LEFT(Table1[[#This Row],[TeamID]],FIND("/",Table1[[#This Row],[TeamID]])-1)</f>
        <v>Paul</v>
      </c>
      <c r="F286" s="26">
        <f>Table1[[#This Row],[TC-G1-AS]]+Table1[[#This Row],[TC-G2-AS]]+Table1[[#This Row],[TC-G3-AS]]+Table1[[#This Row],[TC-G4-AS]]+Table1[[#This Row],[TC-G5-AS]]</f>
        <v>1</v>
      </c>
      <c r="G286" s="25">
        <v>1</v>
      </c>
      <c r="L286" s="25" t="str">
        <f>SUBSTITUTE(Table1[[#This Row],[TeamID]],Table1[[#This Row],[Team Captain]]&amp;"/","")</f>
        <v>Neil</v>
      </c>
      <c r="O286" s="25">
        <v>1</v>
      </c>
      <c r="P286" s="25">
        <v>1</v>
      </c>
      <c r="R286" s="26">
        <f>Table1[[#This Row],[P-G1-AS]]+Table1[[#This Row],[P-G2-AS]]+Table1[[#This Row],[P-G3-AS]]+Table1[[#This Row],[P-G4-AS]]+Table1[[#This Row],[P-G5-AS]]</f>
        <v>2</v>
      </c>
      <c r="S286" s="25">
        <v>36.659999999999997</v>
      </c>
      <c r="T286" s="25">
        <v>1</v>
      </c>
      <c r="U286" s="25" t="s">
        <v>97</v>
      </c>
      <c r="V286" s="25">
        <v>2</v>
      </c>
      <c r="W286" s="25">
        <v>37.57</v>
      </c>
      <c r="X286" s="25">
        <v>1</v>
      </c>
      <c r="Y286" s="25" t="s">
        <v>94</v>
      </c>
      <c r="Z286" s="25">
        <v>8</v>
      </c>
      <c r="AA286" s="26">
        <f t="shared" si="26"/>
        <v>37.114999999999995</v>
      </c>
      <c r="AB286" s="25">
        <v>1</v>
      </c>
      <c r="AC286" s="25">
        <v>0</v>
      </c>
      <c r="AE286" s="25">
        <v>1.19</v>
      </c>
      <c r="AF286" s="25">
        <v>0</v>
      </c>
      <c r="AH286" s="26">
        <f t="shared" si="27"/>
        <v>1.095</v>
      </c>
      <c r="AI286" s="25">
        <v>32.119999999999997</v>
      </c>
      <c r="AJ286" s="25" t="s">
        <v>94</v>
      </c>
      <c r="AK286" s="25">
        <v>42</v>
      </c>
      <c r="AN286" s="25">
        <v>0</v>
      </c>
      <c r="AO286" s="26">
        <f t="shared" si="28"/>
        <v>2</v>
      </c>
    </row>
    <row r="287" spans="1:41" ht="15" customHeight="1">
      <c r="A287" s="25" t="s">
        <v>76</v>
      </c>
      <c r="B287" s="25" t="s">
        <v>138</v>
      </c>
      <c r="C287" s="25" t="s">
        <v>45</v>
      </c>
      <c r="D287" s="25" t="s">
        <v>143</v>
      </c>
      <c r="E287" s="25" t="str">
        <f>LEFT(Table1[[#This Row],[TeamID]],FIND("/",Table1[[#This Row],[TeamID]])-1)</f>
        <v>Daniel</v>
      </c>
      <c r="F287" s="26">
        <f>Table1[[#This Row],[TC-G1-AS]]+Table1[[#This Row],[TC-G2-AS]]+Table1[[#This Row],[TC-G3-AS]]+Table1[[#This Row],[TC-G4-AS]]+Table1[[#This Row],[TC-G5-AS]]</f>
        <v>0</v>
      </c>
      <c r="L287" s="25" t="str">
        <f>SUBSTITUTE(Table1[[#This Row],[TeamID]],Table1[[#This Row],[Team Captain]]&amp;"/","")</f>
        <v>Mark</v>
      </c>
      <c r="N287" s="25">
        <v>1</v>
      </c>
      <c r="O287" s="25">
        <v>1</v>
      </c>
      <c r="P287" s="25">
        <v>1</v>
      </c>
      <c r="R287" s="26">
        <f>Table1[[#This Row],[P-G1-AS]]+Table1[[#This Row],[P-G2-AS]]+Table1[[#This Row],[P-G3-AS]]+Table1[[#This Row],[P-G4-AS]]+Table1[[#This Row],[P-G5-AS]]</f>
        <v>3</v>
      </c>
      <c r="S287" s="25">
        <v>33</v>
      </c>
      <c r="T287" s="25">
        <v>0</v>
      </c>
      <c r="W287" s="25">
        <v>37.770000000000003</v>
      </c>
      <c r="X287" s="25">
        <v>0</v>
      </c>
      <c r="AA287" s="26">
        <f t="shared" si="26"/>
        <v>35.385000000000005</v>
      </c>
      <c r="AB287" s="25">
        <v>1.04</v>
      </c>
      <c r="AC287" s="25">
        <v>1</v>
      </c>
      <c r="AD287" s="25" t="s">
        <v>89</v>
      </c>
      <c r="AE287" s="25">
        <v>1.53</v>
      </c>
      <c r="AF287" s="25">
        <v>1</v>
      </c>
      <c r="AG287" s="25" t="s">
        <v>89</v>
      </c>
      <c r="AH287" s="26">
        <f t="shared" si="27"/>
        <v>1.2850000000000001</v>
      </c>
      <c r="AI287" s="25">
        <v>33.44</v>
      </c>
      <c r="AJ287" s="25" t="s">
        <v>89</v>
      </c>
      <c r="AK287" s="25">
        <v>27</v>
      </c>
      <c r="AL287" s="25" t="s">
        <v>89</v>
      </c>
      <c r="AM287" s="25">
        <v>37</v>
      </c>
      <c r="AN287" s="25">
        <v>1</v>
      </c>
      <c r="AO287" s="26">
        <f t="shared" si="28"/>
        <v>3</v>
      </c>
    </row>
    <row r="288" spans="1:41" ht="15" customHeight="1">
      <c r="A288" s="25" t="s">
        <v>77</v>
      </c>
      <c r="B288" s="25" t="s">
        <v>138</v>
      </c>
      <c r="C288" s="25" t="s">
        <v>43</v>
      </c>
      <c r="D288" s="25" t="s">
        <v>140</v>
      </c>
      <c r="E288" s="25" t="str">
        <f>LEFT(Table1[[#This Row],[TeamID]],FIND("/",Table1[[#This Row],[TeamID]])-1)</f>
        <v>Todd</v>
      </c>
      <c r="F288" s="26">
        <f>Table1[[#This Row],[TC-G1-AS]]+Table1[[#This Row],[TC-G2-AS]]+Table1[[#This Row],[TC-G3-AS]]+Table1[[#This Row],[TC-G4-AS]]+Table1[[#This Row],[TC-G5-AS]]</f>
        <v>0</v>
      </c>
      <c r="L288" s="25" t="str">
        <f>SUBSTITUTE(Table1[[#This Row],[TeamID]],Table1[[#This Row],[Team Captain]]&amp;"/","")</f>
        <v>Tayven</v>
      </c>
      <c r="O288" s="25">
        <v>1</v>
      </c>
      <c r="R288" s="26">
        <f>Table1[[#This Row],[P-G1-AS]]+Table1[[#This Row],[P-G2-AS]]+Table1[[#This Row],[P-G3-AS]]+Table1[[#This Row],[P-G4-AS]]+Table1[[#This Row],[P-G5-AS]]</f>
        <v>1</v>
      </c>
      <c r="S288" s="25">
        <v>41.33</v>
      </c>
      <c r="T288" s="25">
        <v>0</v>
      </c>
      <c r="W288" s="25">
        <v>39.11</v>
      </c>
      <c r="X288" s="25">
        <v>0</v>
      </c>
      <c r="AA288" s="26">
        <f t="shared" si="26"/>
        <v>40.22</v>
      </c>
      <c r="AB288" s="25">
        <v>2.25</v>
      </c>
      <c r="AC288" s="25">
        <v>1</v>
      </c>
      <c r="AD288" s="25" t="s">
        <v>92</v>
      </c>
      <c r="AE288" s="25">
        <v>1.77</v>
      </c>
      <c r="AF288" s="25">
        <v>1</v>
      </c>
      <c r="AG288" s="25" t="s">
        <v>86</v>
      </c>
      <c r="AH288" s="26">
        <f t="shared" si="27"/>
        <v>2.0099999999999998</v>
      </c>
      <c r="AI288" s="25">
        <v>33.44</v>
      </c>
      <c r="AJ288" s="25" t="s">
        <v>92</v>
      </c>
      <c r="AK288" s="25">
        <v>41</v>
      </c>
      <c r="AL288" s="25" t="s">
        <v>92</v>
      </c>
      <c r="AM288" s="25">
        <v>5</v>
      </c>
      <c r="AN288" s="25">
        <v>1</v>
      </c>
      <c r="AO288" s="26">
        <f t="shared" si="28"/>
        <v>3</v>
      </c>
    </row>
    <row r="289" spans="1:41" ht="15" customHeight="1">
      <c r="A289" s="25" t="s">
        <v>77</v>
      </c>
      <c r="B289" s="25" t="s">
        <v>138</v>
      </c>
      <c r="C289" s="25" t="s">
        <v>45</v>
      </c>
      <c r="D289" s="25" t="s">
        <v>141</v>
      </c>
      <c r="E289" s="25" t="str">
        <f>LEFT(Table1[[#This Row],[TeamID]],FIND("/",Table1[[#This Row],[TeamID]])-1)</f>
        <v>Kevin</v>
      </c>
      <c r="F289" s="26">
        <f>Table1[[#This Row],[TC-G1-AS]]+Table1[[#This Row],[TC-G2-AS]]+Table1[[#This Row],[TC-G3-AS]]+Table1[[#This Row],[TC-G4-AS]]+Table1[[#This Row],[TC-G5-AS]]</f>
        <v>4</v>
      </c>
      <c r="H289" s="25">
        <v>1</v>
      </c>
      <c r="J289" s="25">
        <v>3</v>
      </c>
      <c r="L289" s="25" t="str">
        <f>SUBSTITUTE(Table1[[#This Row],[TeamID]],Table1[[#This Row],[Team Captain]]&amp;"/","")</f>
        <v>Mike H</v>
      </c>
      <c r="N289" s="25">
        <v>1</v>
      </c>
      <c r="Q289" s="25">
        <v>1</v>
      </c>
      <c r="R289" s="26">
        <f>Table1[[#This Row],[P-G1-AS]]+Table1[[#This Row],[P-G2-AS]]+Table1[[#This Row],[P-G3-AS]]+Table1[[#This Row],[P-G4-AS]]+Table1[[#This Row],[P-G5-AS]]</f>
        <v>2</v>
      </c>
      <c r="S289" s="25">
        <v>40.619999999999997</v>
      </c>
      <c r="T289" s="25">
        <v>1</v>
      </c>
      <c r="U289" s="25" t="s">
        <v>55</v>
      </c>
      <c r="V289" s="25">
        <v>8</v>
      </c>
      <c r="W289" s="25">
        <v>55.67</v>
      </c>
      <c r="X289" s="25">
        <v>1</v>
      </c>
      <c r="Y289" s="25" t="s">
        <v>91</v>
      </c>
      <c r="Z289" s="25">
        <v>32</v>
      </c>
      <c r="AA289" s="26">
        <f t="shared" si="26"/>
        <v>48.144999999999996</v>
      </c>
      <c r="AB289" s="25">
        <v>1.75</v>
      </c>
      <c r="AC289" s="25">
        <v>0</v>
      </c>
      <c r="AE289" s="25">
        <v>1.48</v>
      </c>
      <c r="AF289" s="25">
        <v>0</v>
      </c>
      <c r="AH289" s="26">
        <f t="shared" si="27"/>
        <v>1.615</v>
      </c>
      <c r="AI289" s="25">
        <v>29.89</v>
      </c>
      <c r="AJ289" s="25" t="s">
        <v>55</v>
      </c>
      <c r="AK289" s="25">
        <v>14</v>
      </c>
      <c r="AN289" s="25">
        <v>0</v>
      </c>
      <c r="AO289" s="26">
        <f t="shared" si="28"/>
        <v>2</v>
      </c>
    </row>
    <row r="290" spans="1:41" ht="15" customHeight="1">
      <c r="A290" s="25" t="s">
        <v>78</v>
      </c>
      <c r="B290" s="25" t="s">
        <v>138</v>
      </c>
      <c r="C290" s="25" t="s">
        <v>43</v>
      </c>
      <c r="D290" s="25" t="s">
        <v>146</v>
      </c>
      <c r="E290" s="25" t="str">
        <f>LEFT(Table1[[#This Row],[TeamID]],FIND("/",Table1[[#This Row],[TeamID]])-1)</f>
        <v>Paul</v>
      </c>
      <c r="F290" s="26">
        <f>Table1[[#This Row],[TC-G1-AS]]+Table1[[#This Row],[TC-G2-AS]]+Table1[[#This Row],[TC-G3-AS]]+Table1[[#This Row],[TC-G4-AS]]+Table1[[#This Row],[TC-G5-AS]]</f>
        <v>3</v>
      </c>
      <c r="G290" s="25">
        <v>1</v>
      </c>
      <c r="K290" s="25">
        <v>2</v>
      </c>
      <c r="L290" s="25" t="str">
        <f>SUBSTITUTE(Table1[[#This Row],[TeamID]],Table1[[#This Row],[Team Captain]]&amp;"/","")</f>
        <v>Neil</v>
      </c>
      <c r="P290" s="25">
        <v>1</v>
      </c>
      <c r="R290" s="26">
        <f>Table1[[#This Row],[P-G1-AS]]+Table1[[#This Row],[P-G2-AS]]+Table1[[#This Row],[P-G3-AS]]+Table1[[#This Row],[P-G4-AS]]+Table1[[#This Row],[P-G5-AS]]</f>
        <v>1</v>
      </c>
      <c r="S290" s="25">
        <v>62.62</v>
      </c>
      <c r="T290" s="25">
        <v>1</v>
      </c>
      <c r="U290" s="25" t="s">
        <v>97</v>
      </c>
      <c r="V290" s="25">
        <v>17</v>
      </c>
      <c r="W290" s="25">
        <v>27.89</v>
      </c>
      <c r="X290" s="25">
        <v>0</v>
      </c>
      <c r="AA290" s="26">
        <f t="shared" si="26"/>
        <v>45.254999999999995</v>
      </c>
      <c r="AB290" s="25">
        <v>1</v>
      </c>
      <c r="AC290" s="25">
        <v>0</v>
      </c>
      <c r="AE290" s="25">
        <v>1.86</v>
      </c>
      <c r="AF290" s="25">
        <v>0</v>
      </c>
      <c r="AH290" s="26">
        <f t="shared" si="27"/>
        <v>1.4300000000000002</v>
      </c>
      <c r="AI290" s="25">
        <v>23</v>
      </c>
      <c r="AJ290" s="25" t="s">
        <v>94</v>
      </c>
      <c r="AK290" s="25">
        <v>100</v>
      </c>
      <c r="AN290" s="25">
        <v>0</v>
      </c>
      <c r="AO290" s="26">
        <f t="shared" si="28"/>
        <v>1</v>
      </c>
    </row>
    <row r="291" spans="1:41" ht="15" customHeight="1">
      <c r="A291" s="25" t="s">
        <v>78</v>
      </c>
      <c r="B291" s="25" t="s">
        <v>138</v>
      </c>
      <c r="C291" s="25" t="s">
        <v>45</v>
      </c>
      <c r="D291" s="25" t="s">
        <v>141</v>
      </c>
      <c r="E291" s="25" t="str">
        <f>LEFT(Table1[[#This Row],[TeamID]],FIND("/",Table1[[#This Row],[TeamID]])-1)</f>
        <v>Kevin</v>
      </c>
      <c r="F291" s="26">
        <f>Table1[[#This Row],[TC-G1-AS]]+Table1[[#This Row],[TC-G2-AS]]+Table1[[#This Row],[TC-G3-AS]]+Table1[[#This Row],[TC-G4-AS]]+Table1[[#This Row],[TC-G5-AS]]</f>
        <v>0</v>
      </c>
      <c r="L291" s="25" t="str">
        <f>SUBSTITUTE(Table1[[#This Row],[TeamID]],Table1[[#This Row],[Team Captain]]&amp;"/","")</f>
        <v>Mike H</v>
      </c>
      <c r="N291" s="25">
        <v>1</v>
      </c>
      <c r="P291" s="25">
        <v>1</v>
      </c>
      <c r="R291" s="26">
        <f>Table1[[#This Row],[P-G1-AS]]+Table1[[#This Row],[P-G2-AS]]+Table1[[#This Row],[P-G3-AS]]+Table1[[#This Row],[P-G4-AS]]+Table1[[#This Row],[P-G5-AS]]</f>
        <v>2</v>
      </c>
      <c r="S291" s="25">
        <v>47.57</v>
      </c>
      <c r="T291" s="25">
        <v>0</v>
      </c>
      <c r="W291" s="25">
        <v>51.83</v>
      </c>
      <c r="X291" s="25">
        <v>1</v>
      </c>
      <c r="Y291" s="25" t="s">
        <v>55</v>
      </c>
      <c r="Z291" s="25">
        <v>20</v>
      </c>
      <c r="AA291" s="26">
        <f t="shared" si="26"/>
        <v>49.7</v>
      </c>
      <c r="AB291" s="25">
        <v>0.98</v>
      </c>
      <c r="AC291" s="25">
        <v>1</v>
      </c>
      <c r="AD291" s="25" t="s">
        <v>55</v>
      </c>
      <c r="AE291" s="25">
        <v>2.4300000000000002</v>
      </c>
      <c r="AF291" s="25">
        <v>1</v>
      </c>
      <c r="AG291" s="25" t="s">
        <v>91</v>
      </c>
      <c r="AH291" s="26">
        <f t="shared" si="27"/>
        <v>1.7050000000000001</v>
      </c>
      <c r="AI291" s="25">
        <v>23.15</v>
      </c>
      <c r="AJ291" s="25" t="s">
        <v>55</v>
      </c>
      <c r="AK291" s="25">
        <v>51</v>
      </c>
      <c r="AL291" s="25" t="s">
        <v>55</v>
      </c>
      <c r="AM291" s="25">
        <v>4</v>
      </c>
      <c r="AN291" s="25">
        <v>1</v>
      </c>
      <c r="AO291" s="26">
        <f t="shared" si="28"/>
        <v>4</v>
      </c>
    </row>
    <row r="292" spans="1:41" ht="15" customHeight="1">
      <c r="A292" s="25" t="s">
        <v>79</v>
      </c>
      <c r="B292" s="25" t="s">
        <v>138</v>
      </c>
      <c r="C292" s="25" t="s">
        <v>43</v>
      </c>
      <c r="D292" s="25" t="s">
        <v>140</v>
      </c>
      <c r="E292" s="25" t="str">
        <f>LEFT(Table1[[#This Row],[TeamID]],FIND("/",Table1[[#This Row],[TeamID]])-1)</f>
        <v>Todd</v>
      </c>
      <c r="F292" s="26">
        <f>Table1[[#This Row],[TC-G1-AS]]+Table1[[#This Row],[TC-G2-AS]]+Table1[[#This Row],[TC-G3-AS]]+Table1[[#This Row],[TC-G4-AS]]+Table1[[#This Row],[TC-G5-AS]]</f>
        <v>2</v>
      </c>
      <c r="G292" s="25">
        <v>2</v>
      </c>
      <c r="L292" s="25" t="str">
        <f>SUBSTITUTE(Table1[[#This Row],[TeamID]],Table1[[#This Row],[Team Captain]]&amp;"/","")</f>
        <v>Tayven</v>
      </c>
      <c r="O292" s="25">
        <v>1</v>
      </c>
      <c r="P292" s="25">
        <v>1</v>
      </c>
      <c r="R292" s="26">
        <f>Table1[[#This Row],[P-G1-AS]]+Table1[[#This Row],[P-G2-AS]]+Table1[[#This Row],[P-G3-AS]]+Table1[[#This Row],[P-G4-AS]]+Table1[[#This Row],[P-G5-AS]]</f>
        <v>2</v>
      </c>
      <c r="S292" s="25">
        <v>45.55</v>
      </c>
      <c r="T292" s="25">
        <v>1</v>
      </c>
      <c r="U292" s="25" t="s">
        <v>92</v>
      </c>
      <c r="V292" s="25">
        <v>32</v>
      </c>
      <c r="W292" s="25">
        <v>39.67</v>
      </c>
      <c r="X292" s="25">
        <v>0</v>
      </c>
      <c r="AA292" s="26">
        <f t="shared" si="26"/>
        <v>42.61</v>
      </c>
      <c r="AB292" s="25">
        <v>2.08</v>
      </c>
      <c r="AC292" s="25">
        <v>1</v>
      </c>
      <c r="AD292" s="25" t="s">
        <v>86</v>
      </c>
      <c r="AE292" s="25">
        <v>1.33</v>
      </c>
      <c r="AF292" s="25">
        <v>0</v>
      </c>
      <c r="AH292" s="26">
        <f t="shared" si="27"/>
        <v>1.7050000000000001</v>
      </c>
      <c r="AI292" s="25">
        <v>19.91</v>
      </c>
      <c r="AJ292" s="25" t="s">
        <v>86</v>
      </c>
      <c r="AK292" s="25">
        <v>41</v>
      </c>
      <c r="AN292" s="25">
        <v>0</v>
      </c>
      <c r="AO292" s="26">
        <f t="shared" si="28"/>
        <v>2</v>
      </c>
    </row>
    <row r="293" spans="1:41" ht="15" customHeight="1">
      <c r="A293" s="25" t="s">
        <v>79</v>
      </c>
      <c r="B293" s="25" t="s">
        <v>138</v>
      </c>
      <c r="C293" s="25" t="s">
        <v>45</v>
      </c>
      <c r="D293" s="25" t="s">
        <v>143</v>
      </c>
      <c r="E293" s="25" t="str">
        <f>LEFT(Table1[[#This Row],[TeamID]],FIND("/",Table1[[#This Row],[TeamID]])-1)</f>
        <v>Daniel</v>
      </c>
      <c r="F293" s="26">
        <f>Table1[[#This Row],[TC-G1-AS]]+Table1[[#This Row],[TC-G2-AS]]+Table1[[#This Row],[TC-G3-AS]]+Table1[[#This Row],[TC-G4-AS]]+Table1[[#This Row],[TC-G5-AS]]</f>
        <v>1</v>
      </c>
      <c r="G293" s="25">
        <v>1</v>
      </c>
      <c r="L293" s="25" t="str">
        <f>SUBSTITUTE(Table1[[#This Row],[TeamID]],Table1[[#This Row],[Team Captain]]&amp;"/","")</f>
        <v>Mark</v>
      </c>
      <c r="N293" s="25">
        <v>1</v>
      </c>
      <c r="Q293" s="25">
        <v>1</v>
      </c>
      <c r="R293" s="26">
        <f>Table1[[#This Row],[P-G1-AS]]+Table1[[#This Row],[P-G2-AS]]+Table1[[#This Row],[P-G3-AS]]+Table1[[#This Row],[P-G4-AS]]+Table1[[#This Row],[P-G5-AS]]</f>
        <v>2</v>
      </c>
      <c r="S293" s="25">
        <v>42</v>
      </c>
      <c r="T293" s="25">
        <v>0</v>
      </c>
      <c r="W293" s="25">
        <v>46.97</v>
      </c>
      <c r="X293" s="25">
        <v>1</v>
      </c>
      <c r="Y293" s="25" t="s">
        <v>102</v>
      </c>
      <c r="Z293" s="25">
        <v>30</v>
      </c>
      <c r="AA293" s="26">
        <f t="shared" si="26"/>
        <v>44.484999999999999</v>
      </c>
      <c r="AB293" s="25">
        <v>1.42</v>
      </c>
      <c r="AC293" s="25">
        <v>0</v>
      </c>
      <c r="AE293" s="25">
        <v>1.37</v>
      </c>
      <c r="AF293" s="25">
        <v>1</v>
      </c>
      <c r="AG293" s="25" t="s">
        <v>89</v>
      </c>
      <c r="AH293" s="26">
        <f t="shared" si="27"/>
        <v>1.395</v>
      </c>
      <c r="AI293" s="25">
        <v>28.22</v>
      </c>
      <c r="AJ293" s="25" t="s">
        <v>89</v>
      </c>
      <c r="AK293" s="25">
        <v>40</v>
      </c>
      <c r="AL293" s="25" t="s">
        <v>89</v>
      </c>
      <c r="AM293" s="25">
        <v>10</v>
      </c>
      <c r="AN293" s="25">
        <v>1</v>
      </c>
      <c r="AO293" s="26">
        <f t="shared" si="28"/>
        <v>3</v>
      </c>
    </row>
    <row r="294" spans="1:41" ht="15" customHeight="1">
      <c r="A294" s="25" t="s">
        <v>80</v>
      </c>
      <c r="B294" s="25" t="s">
        <v>138</v>
      </c>
      <c r="C294" s="25" t="s">
        <v>43</v>
      </c>
      <c r="D294" s="25" t="s">
        <v>139</v>
      </c>
      <c r="E294" s="25" t="str">
        <f>LEFT(Table1[[#This Row],[TeamID]],FIND("/",Table1[[#This Row],[TeamID]])-1)</f>
        <v>Mike C</v>
      </c>
      <c r="F294" s="26">
        <f>Table1[[#This Row],[TC-G1-AS]]+Table1[[#This Row],[TC-G2-AS]]+Table1[[#This Row],[TC-G3-AS]]+Table1[[#This Row],[TC-G4-AS]]+Table1[[#This Row],[TC-G5-AS]]</f>
        <v>2</v>
      </c>
      <c r="J294" s="25">
        <v>2</v>
      </c>
      <c r="L294" s="25" t="str">
        <f>SUBSTITUTE(Table1[[#This Row],[TeamID]],Table1[[#This Row],[Team Captain]]&amp;"/","")</f>
        <v>Tristan</v>
      </c>
      <c r="R294" s="26">
        <f>Table1[[#This Row],[P-G1-AS]]+Table1[[#This Row],[P-G2-AS]]+Table1[[#This Row],[P-G3-AS]]+Table1[[#This Row],[P-G4-AS]]+Table1[[#This Row],[P-G5-AS]]</f>
        <v>0</v>
      </c>
      <c r="S294" s="25">
        <v>39</v>
      </c>
      <c r="T294" s="25">
        <v>0</v>
      </c>
      <c r="W294" s="25">
        <v>27.72</v>
      </c>
      <c r="X294" s="25">
        <v>0</v>
      </c>
      <c r="AA294" s="26">
        <f t="shared" si="26"/>
        <v>33.36</v>
      </c>
      <c r="AB294" s="25">
        <v>1.07</v>
      </c>
      <c r="AC294" s="25">
        <v>0</v>
      </c>
      <c r="AE294" s="25">
        <v>1.17</v>
      </c>
      <c r="AF294" s="25">
        <v>0</v>
      </c>
      <c r="AH294" s="26">
        <f t="shared" si="27"/>
        <v>1.1200000000000001</v>
      </c>
      <c r="AI294" s="25">
        <v>3.67</v>
      </c>
      <c r="AJ294" s="25" t="s">
        <v>121</v>
      </c>
      <c r="AK294" s="25">
        <v>22</v>
      </c>
      <c r="AN294" s="25">
        <v>0</v>
      </c>
      <c r="AO294" s="26">
        <f t="shared" si="28"/>
        <v>0</v>
      </c>
    </row>
    <row r="295" spans="1:41" ht="15" customHeight="1">
      <c r="A295" s="25" t="s">
        <v>80</v>
      </c>
      <c r="B295" s="25" t="s">
        <v>138</v>
      </c>
      <c r="C295" s="25" t="s">
        <v>45</v>
      </c>
      <c r="D295" s="25" t="s">
        <v>145</v>
      </c>
      <c r="E295" s="25" t="str">
        <f>LEFT(Table1[[#This Row],[TeamID]],FIND("/",Table1[[#This Row],[TeamID]])-1)</f>
        <v>Brian</v>
      </c>
      <c r="F295" s="26">
        <f>Table1[[#This Row],[TC-G1-AS]]+Table1[[#This Row],[TC-G2-AS]]+Table1[[#This Row],[TC-G3-AS]]+Table1[[#This Row],[TC-G4-AS]]+Table1[[#This Row],[TC-G5-AS]]</f>
        <v>8</v>
      </c>
      <c r="G295" s="25">
        <v>3</v>
      </c>
      <c r="H295" s="25">
        <v>3</v>
      </c>
      <c r="K295" s="25">
        <v>2</v>
      </c>
      <c r="L295" s="25" t="str">
        <f>SUBSTITUTE(Table1[[#This Row],[TeamID]],Table1[[#This Row],[Team Captain]]&amp;"/","")</f>
        <v>David</v>
      </c>
      <c r="R295" s="26">
        <f>Table1[[#This Row],[P-G1-AS]]+Table1[[#This Row],[P-G2-AS]]+Table1[[#This Row],[P-G3-AS]]+Table1[[#This Row],[P-G4-AS]]+Table1[[#This Row],[P-G5-AS]]</f>
        <v>0</v>
      </c>
      <c r="S295" s="25">
        <v>48.48</v>
      </c>
      <c r="T295" s="25">
        <v>1</v>
      </c>
      <c r="U295" s="25" t="s">
        <v>96</v>
      </c>
      <c r="V295" s="25">
        <v>20</v>
      </c>
      <c r="W295" s="25">
        <v>28.9</v>
      </c>
      <c r="X295" s="25">
        <v>1</v>
      </c>
      <c r="Y295" s="25" t="s">
        <v>96</v>
      </c>
      <c r="Z295" s="25">
        <v>2</v>
      </c>
      <c r="AA295" s="26">
        <f t="shared" si="26"/>
        <v>38.69</v>
      </c>
      <c r="AB295" s="25">
        <v>1.4</v>
      </c>
      <c r="AC295" s="25">
        <v>1</v>
      </c>
      <c r="AD295" s="25" t="s">
        <v>96</v>
      </c>
      <c r="AE295" s="25">
        <v>1.25</v>
      </c>
      <c r="AF295" s="25">
        <v>1</v>
      </c>
      <c r="AG295" s="25" t="s">
        <v>96</v>
      </c>
      <c r="AH295" s="26">
        <f t="shared" si="27"/>
        <v>1.325</v>
      </c>
      <c r="AI295" s="25">
        <v>43</v>
      </c>
      <c r="AJ295" s="25" t="s">
        <v>96</v>
      </c>
      <c r="AK295" s="25">
        <v>101</v>
      </c>
      <c r="AL295" s="25" t="s">
        <v>96</v>
      </c>
      <c r="AM295" s="25">
        <v>35</v>
      </c>
      <c r="AN295" s="25">
        <v>1</v>
      </c>
      <c r="AO295" s="26">
        <f t="shared" si="28"/>
        <v>5</v>
      </c>
    </row>
    <row r="296" spans="1:41" ht="15" customHeight="1">
      <c r="A296" s="25" t="s">
        <v>81</v>
      </c>
      <c r="B296" s="25" t="s">
        <v>138</v>
      </c>
      <c r="C296" s="25" t="s">
        <v>43</v>
      </c>
      <c r="D296" s="25" t="s">
        <v>144</v>
      </c>
      <c r="E296" s="25" t="str">
        <f>LEFT(Table1[[#This Row],[TeamID]],FIND("/",Table1[[#This Row],[TeamID]])-1)</f>
        <v>Mike A</v>
      </c>
      <c r="F296" s="26">
        <f>Table1[[#This Row],[TC-G1-AS]]+Table1[[#This Row],[TC-G2-AS]]+Table1[[#This Row],[TC-G3-AS]]+Table1[[#This Row],[TC-G4-AS]]+Table1[[#This Row],[TC-G5-AS]]</f>
        <v>0</v>
      </c>
      <c r="L296" s="25" t="str">
        <f>SUBSTITUTE(Table1[[#This Row],[TeamID]],Table1[[#This Row],[Team Captain]]&amp;"/","")</f>
        <v>Jason</v>
      </c>
      <c r="R296" s="26">
        <f>Table1[[#This Row],[P-G1-AS]]+Table1[[#This Row],[P-G2-AS]]+Table1[[#This Row],[P-G3-AS]]+Table1[[#This Row],[P-G4-AS]]+Table1[[#This Row],[P-G5-AS]]</f>
        <v>0</v>
      </c>
      <c r="S296" s="25"/>
      <c r="AA296" s="26">
        <f t="shared" si="26"/>
        <v>0</v>
      </c>
      <c r="AH296" s="26">
        <f t="shared" si="27"/>
        <v>0</v>
      </c>
      <c r="AO296" s="26">
        <f t="shared" si="28"/>
        <v>0</v>
      </c>
    </row>
    <row r="297" spans="1:41" ht="15" customHeight="1">
      <c r="A297" s="25" t="s">
        <v>81</v>
      </c>
      <c r="B297" s="25" t="s">
        <v>138</v>
      </c>
      <c r="C297" s="25" t="s">
        <v>45</v>
      </c>
      <c r="D297" s="25" t="s">
        <v>142</v>
      </c>
      <c r="E297" s="25" t="str">
        <f>LEFT(Table1[[#This Row],[TeamID]],FIND("/",Table1[[#This Row],[TeamID]])-1)</f>
        <v>Clarence</v>
      </c>
      <c r="F297" s="26">
        <f>Table1[[#This Row],[TC-G1-AS]]+Table1[[#This Row],[TC-G2-AS]]+Table1[[#This Row],[TC-G3-AS]]+Table1[[#This Row],[TC-G4-AS]]+Table1[[#This Row],[TC-G5-AS]]</f>
        <v>0</v>
      </c>
      <c r="L297" s="25" t="str">
        <f>SUBSTITUTE(Table1[[#This Row],[TeamID]],Table1[[#This Row],[Team Captain]]&amp;"/","")</f>
        <v>Troy</v>
      </c>
      <c r="R297" s="26">
        <f>Table1[[#This Row],[P-G1-AS]]+Table1[[#This Row],[P-G2-AS]]+Table1[[#This Row],[P-G3-AS]]+Table1[[#This Row],[P-G4-AS]]+Table1[[#This Row],[P-G5-AS]]</f>
        <v>0</v>
      </c>
      <c r="S297" s="25"/>
      <c r="AA297" s="26">
        <f t="shared" si="26"/>
        <v>0</v>
      </c>
      <c r="AH297" s="26">
        <f t="shared" si="27"/>
        <v>0</v>
      </c>
      <c r="AO297" s="26">
        <f t="shared" si="28"/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1"/>
  <sheetViews>
    <sheetView workbookViewId="0"/>
  </sheetViews>
  <sheetFormatPr defaultRowHeight="14.45"/>
  <cols>
    <col min="1" max="1" width="17.140625" customWidth="1"/>
    <col min="2" max="2" width="15.5703125" customWidth="1"/>
    <col min="3" max="4" width="10.42578125" bestFit="1" customWidth="1"/>
    <col min="5" max="6" width="9.85546875" bestFit="1" customWidth="1"/>
    <col min="7" max="8" width="10.42578125" bestFit="1" customWidth="1"/>
    <col min="9" max="10" width="9.85546875" bestFit="1" customWidth="1"/>
    <col min="11" max="12" width="9.85546875" customWidth="1"/>
    <col min="13" max="14" width="11.7109375" bestFit="1" customWidth="1"/>
    <col min="15" max="16" width="11.140625" bestFit="1" customWidth="1"/>
    <col min="17" max="18" width="11.7109375" bestFit="1" customWidth="1"/>
    <col min="19" max="20" width="11.140625" bestFit="1" customWidth="1"/>
    <col min="21" max="22" width="11.140625" customWidth="1"/>
    <col min="23" max="24" width="9.42578125" bestFit="1" customWidth="1"/>
    <col min="25" max="26" width="8.85546875" bestFit="1" customWidth="1"/>
    <col min="27" max="28" width="11.5703125" bestFit="1" customWidth="1"/>
    <col min="30" max="30" width="11.42578125" bestFit="1" customWidth="1"/>
    <col min="31" max="31" width="11.42578125" customWidth="1"/>
    <col min="33" max="33" width="13.5703125" bestFit="1" customWidth="1"/>
    <col min="34" max="34" width="10" bestFit="1" customWidth="1"/>
    <col min="35" max="35" width="11.85546875" bestFit="1" customWidth="1"/>
    <col min="36" max="36" width="10.140625" bestFit="1" customWidth="1"/>
    <col min="37" max="37" width="13.140625" bestFit="1" customWidth="1"/>
    <col min="38" max="38" width="12.28515625" bestFit="1" customWidth="1"/>
    <col min="39" max="40" width="12.28515625" customWidth="1"/>
  </cols>
  <sheetData>
    <row r="1" spans="1:68" s="4" customFormat="1">
      <c r="A1" s="4" t="s">
        <v>147</v>
      </c>
      <c r="AG1" s="4" t="s">
        <v>148</v>
      </c>
      <c r="AP1" s="4" t="s">
        <v>149</v>
      </c>
      <c r="AY1" s="4" t="s">
        <v>150</v>
      </c>
      <c r="BH1" s="4" t="s">
        <v>151</v>
      </c>
    </row>
    <row r="2" spans="1:68">
      <c r="A2" s="2"/>
      <c r="B2" s="2" t="s">
        <v>152</v>
      </c>
      <c r="C2" s="2" t="s">
        <v>153</v>
      </c>
      <c r="D2" s="2" t="s">
        <v>154</v>
      </c>
      <c r="E2" s="2" t="s">
        <v>155</v>
      </c>
      <c r="F2" s="2" t="s">
        <v>156</v>
      </c>
      <c r="G2" s="2" t="s">
        <v>157</v>
      </c>
      <c r="H2" s="2" t="s">
        <v>158</v>
      </c>
      <c r="I2" s="2" t="s">
        <v>159</v>
      </c>
      <c r="J2" s="2" t="s">
        <v>160</v>
      </c>
      <c r="K2" s="2" t="s">
        <v>161</v>
      </c>
      <c r="L2" s="2" t="s">
        <v>162</v>
      </c>
      <c r="M2" s="2" t="s">
        <v>163</v>
      </c>
      <c r="N2" s="2" t="s">
        <v>164</v>
      </c>
      <c r="O2" s="2" t="s">
        <v>165</v>
      </c>
      <c r="P2" s="2" t="s">
        <v>166</v>
      </c>
      <c r="Q2" s="2" t="s">
        <v>167</v>
      </c>
      <c r="R2" s="2" t="s">
        <v>168</v>
      </c>
      <c r="S2" s="2" t="s">
        <v>169</v>
      </c>
      <c r="T2" s="2" t="s">
        <v>170</v>
      </c>
      <c r="U2" s="2" t="s">
        <v>171</v>
      </c>
      <c r="V2" s="2" t="s">
        <v>172</v>
      </c>
      <c r="W2" s="2" t="s">
        <v>173</v>
      </c>
      <c r="X2" s="2" t="s">
        <v>174</v>
      </c>
      <c r="Y2" s="2" t="s">
        <v>175</v>
      </c>
      <c r="Z2" s="2" t="s">
        <v>176</v>
      </c>
      <c r="AA2" s="2" t="s">
        <v>177</v>
      </c>
      <c r="AB2" s="2" t="s">
        <v>178</v>
      </c>
      <c r="AC2" s="2"/>
      <c r="AD2" s="2" t="s">
        <v>179</v>
      </c>
      <c r="AE2" s="2"/>
      <c r="AF2" s="2"/>
      <c r="AG2" s="2" t="str">
        <f>'Team Stats'!$A$2</f>
        <v>Todd/Mike C</v>
      </c>
      <c r="AH2" s="2" t="str">
        <f>'Team Stats'!$A$3</f>
        <v>Clarence/Mike H</v>
      </c>
      <c r="AI2" s="2" t="str">
        <f>'Team Stats'!$A$4</f>
        <v>Jason/Mike A</v>
      </c>
      <c r="AJ2" s="2" t="str">
        <f>'Team Stats'!$A$5</f>
        <v>Kevin/Paul</v>
      </c>
      <c r="AK2" s="5" t="str">
        <f>'Team Stats'!$A$6</f>
        <v>Mark/Neil</v>
      </c>
      <c r="AL2" s="5" t="str">
        <f>'Team Stats'!$A$7</f>
        <v>Tayven/Tony</v>
      </c>
      <c r="AM2" s="5" t="str">
        <f>'Team Stats'!$A$8</f>
        <v>Brian/Olver</v>
      </c>
      <c r="AN2" s="5" t="str">
        <f>'Team Stats'!$A$9</f>
        <v>Daniel/David</v>
      </c>
      <c r="AO2" s="2" t="s">
        <v>180</v>
      </c>
      <c r="AP2" s="2" t="str">
        <f>'Team Stats'!$A$2</f>
        <v>Todd/Mike C</v>
      </c>
      <c r="AQ2" s="2" t="str">
        <f>'Team Stats'!$A$3</f>
        <v>Clarence/Mike H</v>
      </c>
      <c r="AR2" s="2" t="str">
        <f>'Team Stats'!$A$4</f>
        <v>Jason/Mike A</v>
      </c>
      <c r="AS2" s="2" t="str">
        <f>'Team Stats'!$A$5</f>
        <v>Kevin/Paul</v>
      </c>
      <c r="AT2" s="5" t="str">
        <f>'Team Stats'!$A$6</f>
        <v>Mark/Neil</v>
      </c>
      <c r="AU2" s="5" t="str">
        <f>'Team Stats'!$A$7</f>
        <v>Tayven/Tony</v>
      </c>
      <c r="AV2" s="5" t="str">
        <f>'Team Stats'!$A$8</f>
        <v>Brian/Olver</v>
      </c>
      <c r="AW2" s="5" t="str">
        <f>'Team Stats'!$A$9</f>
        <v>Daniel/David</v>
      </c>
      <c r="AX2" s="2"/>
      <c r="AY2" s="2" t="str">
        <f>'Team Stats'!$A$2</f>
        <v>Todd/Mike C</v>
      </c>
      <c r="AZ2" s="2" t="str">
        <f>'Team Stats'!$A$3</f>
        <v>Clarence/Mike H</v>
      </c>
      <c r="BA2" s="2" t="str">
        <f>'Team Stats'!$A$4</f>
        <v>Jason/Mike A</v>
      </c>
      <c r="BB2" s="2" t="str">
        <f>'Team Stats'!$A$5</f>
        <v>Kevin/Paul</v>
      </c>
      <c r="BC2" s="5" t="str">
        <f>'Team Stats'!$A$6</f>
        <v>Mark/Neil</v>
      </c>
      <c r="BD2" s="5" t="str">
        <f>'Team Stats'!$A$7</f>
        <v>Tayven/Tony</v>
      </c>
      <c r="BE2" s="5" t="str">
        <f>'Team Stats'!$A$8</f>
        <v>Brian/Olver</v>
      </c>
      <c r="BF2" s="5" t="str">
        <f>'Team Stats'!$A$9</f>
        <v>Daniel/David</v>
      </c>
      <c r="BG2" s="2"/>
      <c r="BH2" s="2" t="str">
        <f>'Team Stats'!$A$2</f>
        <v>Todd/Mike C</v>
      </c>
      <c r="BI2" s="2" t="str">
        <f>'Team Stats'!$A$3</f>
        <v>Clarence/Mike H</v>
      </c>
      <c r="BJ2" s="2" t="str">
        <f>'Team Stats'!$A$4</f>
        <v>Jason/Mike A</v>
      </c>
      <c r="BK2" s="2" t="str">
        <f>'Team Stats'!$A$5</f>
        <v>Kevin/Paul</v>
      </c>
      <c r="BL2" s="5" t="str">
        <f>'Team Stats'!$A$6</f>
        <v>Mark/Neil</v>
      </c>
      <c r="BM2" s="5" t="str">
        <f>'Team Stats'!$A$7</f>
        <v>Tayven/Tony</v>
      </c>
      <c r="BN2" s="5" t="str">
        <f>'Team Stats'!$A$8</f>
        <v>Brian/Olver</v>
      </c>
      <c r="BO2" s="5" t="str">
        <f>'Team Stats'!$A$9</f>
        <v>Daniel/David</v>
      </c>
      <c r="BP2" s="2"/>
    </row>
    <row r="3" spans="1:68">
      <c r="A3" s="17" t="s">
        <v>44</v>
      </c>
      <c r="B3" s="14" t="s">
        <v>46</v>
      </c>
      <c r="C3" s="7">
        <v>35.4</v>
      </c>
      <c r="D3" s="7">
        <v>35.700000000000003</v>
      </c>
      <c r="E3" s="7">
        <v>0</v>
      </c>
      <c r="F3" s="7">
        <v>1</v>
      </c>
      <c r="G3" s="7">
        <v>30.8</v>
      </c>
      <c r="H3" s="7">
        <v>32.700000000000003</v>
      </c>
      <c r="I3" s="7">
        <v>0</v>
      </c>
      <c r="J3" s="7">
        <v>1</v>
      </c>
      <c r="K3" s="8">
        <f t="shared" ref="K3:K30" si="0">(C3+G3)/2</f>
        <v>33.1</v>
      </c>
      <c r="L3" s="8">
        <f t="shared" ref="L3:L30" si="1">(D3+H3)/2</f>
        <v>34.200000000000003</v>
      </c>
      <c r="M3" s="7">
        <v>1.33</v>
      </c>
      <c r="N3" s="7">
        <v>1.58</v>
      </c>
      <c r="O3" s="7">
        <v>0</v>
      </c>
      <c r="P3" s="7">
        <v>1</v>
      </c>
      <c r="Q3" s="7">
        <v>1.37</v>
      </c>
      <c r="R3" s="7">
        <v>1.05</v>
      </c>
      <c r="S3" s="7">
        <v>1</v>
      </c>
      <c r="T3" s="7">
        <v>0</v>
      </c>
      <c r="U3" s="8">
        <f t="shared" ref="U3:U30" si="2">(M3+Q3)/2</f>
        <v>1.35</v>
      </c>
      <c r="V3" s="9">
        <f t="shared" ref="V3:V30" si="3">(N3+R3)/2</f>
        <v>1.3149999999999999</v>
      </c>
      <c r="W3">
        <v>23.76</v>
      </c>
      <c r="X3">
        <v>23.42</v>
      </c>
      <c r="Y3">
        <v>1</v>
      </c>
      <c r="Z3">
        <v>0</v>
      </c>
      <c r="AA3" s="1">
        <f>E3+O3+Y3+S3+I3</f>
        <v>2</v>
      </c>
      <c r="AB3" s="1">
        <f>F3+P3+Z3+J3+T3</f>
        <v>3</v>
      </c>
      <c r="AD3" s="1" t="str">
        <f>IF(AA3+AB3 = 5, "Good", "ERROR")</f>
        <v>Good</v>
      </c>
      <c r="AG3" s="1">
        <f>IFERROR(VLOOKUP(AG$2,$A3:$AA3,27,FALSE),0)+IFERROR(VLOOKUP(AG$2,$B3:$AB3,27,FALSE),0)</f>
        <v>0</v>
      </c>
      <c r="AH3" s="1">
        <f>IFERROR(VLOOKUP(AH$2,$A3:$AA3,27,FALSE),0)+IFERROR(VLOOKUP(AH$2,$B3:$AB3,27,FALSE),0)</f>
        <v>0</v>
      </c>
      <c r="AI3" s="1">
        <f t="shared" ref="AI3:AN30" si="4">IFERROR(VLOOKUP(AI$2,$A3:$AA3,27,FALSE),0)+IFERROR(VLOOKUP(AI$2,$B3:$AB3,27,FALSE),0)</f>
        <v>0</v>
      </c>
      <c r="AJ3" s="1">
        <f t="shared" si="4"/>
        <v>0</v>
      </c>
      <c r="AK3" s="1">
        <f t="shared" si="4"/>
        <v>0</v>
      </c>
      <c r="AL3" s="1">
        <f t="shared" si="4"/>
        <v>0</v>
      </c>
      <c r="AM3" s="1">
        <f t="shared" si="4"/>
        <v>3</v>
      </c>
      <c r="AN3" s="1">
        <f t="shared" si="4"/>
        <v>2</v>
      </c>
      <c r="AO3" s="1" t="str">
        <f>IF(SUM(AG3:AN3) = 5, "Good", "ERROR")</f>
        <v>Good</v>
      </c>
      <c r="AP3" s="1">
        <f>IFERROR(VLOOKUP(AP$2,$A3:$AA3,11,FALSE),0)+IFERROR(VLOOKUP(AP$2,$B3:$AB3,11,FALSE),0)</f>
        <v>0</v>
      </c>
      <c r="AQ3" s="1">
        <f t="shared" ref="AQ3:AW22" si="5">IFERROR(VLOOKUP(AQ$2,$A3:$AA3,11,FALSE),0)+IFERROR(VLOOKUP(AQ$2,$B3:$AB3,11,FALSE),0)</f>
        <v>0</v>
      </c>
      <c r="AR3" s="1">
        <f t="shared" si="5"/>
        <v>0</v>
      </c>
      <c r="AS3" s="1">
        <f t="shared" si="5"/>
        <v>0</v>
      </c>
      <c r="AT3" s="1">
        <f t="shared" si="5"/>
        <v>0</v>
      </c>
      <c r="AU3" s="1">
        <f t="shared" si="5"/>
        <v>0</v>
      </c>
      <c r="AV3" s="1">
        <f t="shared" si="5"/>
        <v>34.200000000000003</v>
      </c>
      <c r="AW3" s="1">
        <f t="shared" si="5"/>
        <v>33.1</v>
      </c>
      <c r="AX3" s="1"/>
      <c r="AY3" s="1">
        <f t="shared" ref="AY3:BF19" si="6">IFERROR(VLOOKUP(AY$2,$A3:$AA3,21,FALSE),0)+IFERROR(VLOOKUP(AY$2,$B3:$AB3,21,FALSE),0)</f>
        <v>0</v>
      </c>
      <c r="AZ3" s="1">
        <f t="shared" si="6"/>
        <v>0</v>
      </c>
      <c r="BA3" s="1">
        <f t="shared" si="6"/>
        <v>0</v>
      </c>
      <c r="BB3" s="1">
        <f t="shared" si="6"/>
        <v>0</v>
      </c>
      <c r="BC3" s="1">
        <f t="shared" si="6"/>
        <v>0</v>
      </c>
      <c r="BD3" s="1">
        <f t="shared" si="6"/>
        <v>0</v>
      </c>
      <c r="BE3" s="1">
        <f t="shared" si="6"/>
        <v>1.3149999999999999</v>
      </c>
      <c r="BF3" s="1">
        <f t="shared" si="6"/>
        <v>1.35</v>
      </c>
      <c r="BG3" s="1"/>
      <c r="BH3" s="1">
        <f t="shared" ref="BH3:BO19" si="7">IFERROR(VLOOKUP(BH$2,$A3:$AA3,23,FALSE),0)+IFERROR(VLOOKUP(BH$2,$B3:$AB3,23,FALSE),0)</f>
        <v>0</v>
      </c>
      <c r="BI3" s="1">
        <f t="shared" si="7"/>
        <v>0</v>
      </c>
      <c r="BJ3" s="1">
        <f t="shared" si="7"/>
        <v>0</v>
      </c>
      <c r="BK3" s="1">
        <f t="shared" si="7"/>
        <v>0</v>
      </c>
      <c r="BL3" s="1">
        <f t="shared" si="7"/>
        <v>0</v>
      </c>
      <c r="BM3" s="1">
        <f t="shared" si="7"/>
        <v>0</v>
      </c>
      <c r="BN3" s="1">
        <f t="shared" si="7"/>
        <v>23.42</v>
      </c>
      <c r="BO3" s="1">
        <f t="shared" si="7"/>
        <v>23.76</v>
      </c>
    </row>
    <row r="4" spans="1:68">
      <c r="A4" s="17" t="s">
        <v>48</v>
      </c>
      <c r="B4" s="14" t="s">
        <v>49</v>
      </c>
      <c r="C4">
        <v>36.08</v>
      </c>
      <c r="D4">
        <v>39.549999999999997</v>
      </c>
      <c r="E4">
        <v>0</v>
      </c>
      <c r="F4">
        <v>1</v>
      </c>
      <c r="G4">
        <v>35.46</v>
      </c>
      <c r="H4">
        <v>36.659999999999997</v>
      </c>
      <c r="I4">
        <v>0</v>
      </c>
      <c r="J4">
        <v>1</v>
      </c>
      <c r="K4" s="6">
        <f t="shared" si="0"/>
        <v>35.769999999999996</v>
      </c>
      <c r="L4" s="6">
        <f t="shared" si="1"/>
        <v>38.104999999999997</v>
      </c>
      <c r="M4">
        <v>0.96</v>
      </c>
      <c r="N4">
        <v>1.0900000000000001</v>
      </c>
      <c r="O4">
        <v>0</v>
      </c>
      <c r="P4">
        <v>1</v>
      </c>
      <c r="Q4">
        <v>1.04</v>
      </c>
      <c r="R4">
        <v>1.04</v>
      </c>
      <c r="S4">
        <v>1</v>
      </c>
      <c r="T4">
        <v>0</v>
      </c>
      <c r="U4" s="6">
        <f t="shared" si="2"/>
        <v>1</v>
      </c>
      <c r="V4" s="10">
        <f t="shared" si="3"/>
        <v>1.0649999999999999</v>
      </c>
      <c r="W4">
        <v>22.68</v>
      </c>
      <c r="X4">
        <v>27.76</v>
      </c>
      <c r="Y4">
        <v>0</v>
      </c>
      <c r="Z4">
        <v>1</v>
      </c>
      <c r="AA4" s="1">
        <f t="shared" ref="AA4:AA30" si="8">E4+O4+Y4+S4+I4</f>
        <v>1</v>
      </c>
      <c r="AB4" s="1">
        <f t="shared" ref="AB4:AB30" si="9">F4+P4+Z4+J4+T4</f>
        <v>4</v>
      </c>
      <c r="AD4" s="1" t="str">
        <f t="shared" ref="AD4:AD30" si="10">IF(AA4+AB4 = 5, "Good", "ERROR")</f>
        <v>Good</v>
      </c>
      <c r="AG4" s="1">
        <f t="shared" ref="AG4:AH30" si="11">IFERROR(VLOOKUP(AG$2,$A4:$AA4,27,FALSE),0)+IFERROR(VLOOKUP(AG$2,$B4:$AB4,27,FALSE),0)</f>
        <v>0</v>
      </c>
      <c r="AH4" s="1">
        <f t="shared" si="11"/>
        <v>0</v>
      </c>
      <c r="AI4" s="1">
        <f t="shared" si="4"/>
        <v>0</v>
      </c>
      <c r="AJ4" s="1">
        <f t="shared" si="4"/>
        <v>0</v>
      </c>
      <c r="AK4" s="1">
        <f t="shared" si="4"/>
        <v>4</v>
      </c>
      <c r="AL4" s="1">
        <f t="shared" si="4"/>
        <v>1</v>
      </c>
      <c r="AM4" s="1">
        <f t="shared" si="4"/>
        <v>0</v>
      </c>
      <c r="AN4" s="1">
        <f t="shared" si="4"/>
        <v>0</v>
      </c>
      <c r="AO4" s="1" t="str">
        <f t="shared" ref="AO4:AO30" si="12">IF(SUM(AG4:AN4) = 5, "Good", "ERROR")</f>
        <v>Good</v>
      </c>
      <c r="AP4" s="1">
        <f t="shared" ref="AP4:AP30" si="13">IFERROR(VLOOKUP(AP$2,$A4:$AA4,11,FALSE),0)+IFERROR(VLOOKUP(AP$2,$B4:$AB4,11,FALSE),0)</f>
        <v>0</v>
      </c>
      <c r="AQ4" s="1">
        <f t="shared" si="5"/>
        <v>0</v>
      </c>
      <c r="AR4" s="1">
        <f t="shared" si="5"/>
        <v>0</v>
      </c>
      <c r="AS4" s="1">
        <f t="shared" si="5"/>
        <v>0</v>
      </c>
      <c r="AT4" s="1">
        <f t="shared" si="5"/>
        <v>38.104999999999997</v>
      </c>
      <c r="AU4" s="1">
        <f t="shared" si="5"/>
        <v>35.769999999999996</v>
      </c>
      <c r="AV4" s="1">
        <f t="shared" si="5"/>
        <v>0</v>
      </c>
      <c r="AW4" s="1">
        <f t="shared" si="5"/>
        <v>0</v>
      </c>
      <c r="AX4" s="1"/>
      <c r="AY4" s="1">
        <f t="shared" si="6"/>
        <v>0</v>
      </c>
      <c r="AZ4" s="1">
        <f t="shared" si="6"/>
        <v>0</v>
      </c>
      <c r="BA4" s="1">
        <f t="shared" si="6"/>
        <v>0</v>
      </c>
      <c r="BB4" s="1">
        <f t="shared" si="6"/>
        <v>0</v>
      </c>
      <c r="BC4" s="1">
        <f t="shared" si="6"/>
        <v>1.0649999999999999</v>
      </c>
      <c r="BD4" s="1">
        <f t="shared" si="6"/>
        <v>1</v>
      </c>
      <c r="BE4" s="1">
        <f t="shared" si="6"/>
        <v>0</v>
      </c>
      <c r="BF4" s="1">
        <f t="shared" si="6"/>
        <v>0</v>
      </c>
      <c r="BG4" s="1"/>
      <c r="BH4" s="1">
        <f t="shared" si="7"/>
        <v>0</v>
      </c>
      <c r="BI4" s="1">
        <f t="shared" si="7"/>
        <v>0</v>
      </c>
      <c r="BJ4" s="1">
        <f t="shared" si="7"/>
        <v>0</v>
      </c>
      <c r="BK4" s="1">
        <f t="shared" si="7"/>
        <v>0</v>
      </c>
      <c r="BL4" s="1">
        <f t="shared" si="7"/>
        <v>27.76</v>
      </c>
      <c r="BM4" s="1">
        <f t="shared" si="7"/>
        <v>22.68</v>
      </c>
      <c r="BN4" s="1">
        <f t="shared" si="7"/>
        <v>0</v>
      </c>
      <c r="BO4" s="1">
        <f t="shared" si="7"/>
        <v>0</v>
      </c>
    </row>
    <row r="5" spans="1:68">
      <c r="A5" s="17" t="s">
        <v>51</v>
      </c>
      <c r="B5" s="14" t="s">
        <v>52</v>
      </c>
      <c r="C5">
        <v>40.619999999999997</v>
      </c>
      <c r="D5">
        <v>40.83</v>
      </c>
      <c r="E5">
        <v>1</v>
      </c>
      <c r="F5">
        <v>0</v>
      </c>
      <c r="G5">
        <v>32.5</v>
      </c>
      <c r="H5">
        <v>39.549999999999997</v>
      </c>
      <c r="I5">
        <v>0</v>
      </c>
      <c r="J5">
        <v>1</v>
      </c>
      <c r="K5" s="6">
        <f t="shared" si="0"/>
        <v>36.56</v>
      </c>
      <c r="L5" s="6">
        <f t="shared" si="1"/>
        <v>40.19</v>
      </c>
      <c r="M5">
        <v>0.98</v>
      </c>
      <c r="N5">
        <v>0.69</v>
      </c>
      <c r="O5">
        <v>1</v>
      </c>
      <c r="P5">
        <v>0</v>
      </c>
      <c r="Q5">
        <v>1.24</v>
      </c>
      <c r="R5">
        <v>1.33</v>
      </c>
      <c r="S5">
        <v>0</v>
      </c>
      <c r="T5">
        <v>1</v>
      </c>
      <c r="U5" s="6">
        <f t="shared" si="2"/>
        <v>1.1099999999999999</v>
      </c>
      <c r="V5" s="10">
        <f t="shared" si="3"/>
        <v>1.01</v>
      </c>
      <c r="W5">
        <v>22.77</v>
      </c>
      <c r="X5">
        <v>23.76</v>
      </c>
      <c r="Y5">
        <v>0</v>
      </c>
      <c r="Z5">
        <v>1</v>
      </c>
      <c r="AA5" s="1">
        <f t="shared" si="8"/>
        <v>2</v>
      </c>
      <c r="AB5" s="1">
        <f t="shared" si="9"/>
        <v>3</v>
      </c>
      <c r="AD5" s="1" t="str">
        <f t="shared" si="10"/>
        <v>Good</v>
      </c>
      <c r="AG5" s="1">
        <f t="shared" si="11"/>
        <v>3</v>
      </c>
      <c r="AH5" s="1">
        <f t="shared" si="11"/>
        <v>2</v>
      </c>
      <c r="AI5" s="1">
        <f t="shared" si="4"/>
        <v>0</v>
      </c>
      <c r="AJ5" s="1">
        <f t="shared" si="4"/>
        <v>0</v>
      </c>
      <c r="AK5" s="1">
        <f t="shared" si="4"/>
        <v>0</v>
      </c>
      <c r="AL5" s="1">
        <f t="shared" si="4"/>
        <v>0</v>
      </c>
      <c r="AM5" s="1">
        <f t="shared" si="4"/>
        <v>0</v>
      </c>
      <c r="AN5" s="1">
        <f t="shared" si="4"/>
        <v>0</v>
      </c>
      <c r="AO5" s="1" t="str">
        <f t="shared" si="12"/>
        <v>Good</v>
      </c>
      <c r="AP5" s="1">
        <f t="shared" si="13"/>
        <v>40.19</v>
      </c>
      <c r="AQ5" s="1">
        <f t="shared" si="5"/>
        <v>36.56</v>
      </c>
      <c r="AR5" s="1">
        <f t="shared" si="5"/>
        <v>0</v>
      </c>
      <c r="AS5" s="1">
        <f t="shared" si="5"/>
        <v>0</v>
      </c>
      <c r="AT5" s="1">
        <f t="shared" si="5"/>
        <v>0</v>
      </c>
      <c r="AU5" s="1">
        <f t="shared" si="5"/>
        <v>0</v>
      </c>
      <c r="AV5" s="1">
        <f t="shared" si="5"/>
        <v>0</v>
      </c>
      <c r="AW5" s="1">
        <f t="shared" si="5"/>
        <v>0</v>
      </c>
      <c r="AX5" s="1"/>
      <c r="AY5" s="1">
        <f t="shared" si="6"/>
        <v>1.01</v>
      </c>
      <c r="AZ5" s="1">
        <f t="shared" si="6"/>
        <v>1.1099999999999999</v>
      </c>
      <c r="BA5" s="1">
        <f t="shared" si="6"/>
        <v>0</v>
      </c>
      <c r="BB5" s="1">
        <f t="shared" si="6"/>
        <v>0</v>
      </c>
      <c r="BC5" s="1">
        <f t="shared" si="6"/>
        <v>0</v>
      </c>
      <c r="BD5" s="1">
        <f t="shared" si="6"/>
        <v>0</v>
      </c>
      <c r="BE5" s="1">
        <f t="shared" si="6"/>
        <v>0</v>
      </c>
      <c r="BF5" s="1">
        <f t="shared" si="6"/>
        <v>0</v>
      </c>
      <c r="BG5" s="1"/>
      <c r="BH5" s="1">
        <f t="shared" si="7"/>
        <v>23.76</v>
      </c>
      <c r="BI5" s="1">
        <f t="shared" si="7"/>
        <v>22.77</v>
      </c>
      <c r="BJ5" s="1">
        <f t="shared" si="7"/>
        <v>0</v>
      </c>
      <c r="BK5" s="1">
        <f t="shared" si="7"/>
        <v>0</v>
      </c>
      <c r="BL5" s="1">
        <f t="shared" si="7"/>
        <v>0</v>
      </c>
      <c r="BM5" s="1">
        <f t="shared" si="7"/>
        <v>0</v>
      </c>
      <c r="BN5" s="1">
        <f t="shared" si="7"/>
        <v>0</v>
      </c>
      <c r="BO5" s="1">
        <f t="shared" si="7"/>
        <v>0</v>
      </c>
    </row>
    <row r="6" spans="1:68">
      <c r="A6" s="18" t="s">
        <v>54</v>
      </c>
      <c r="B6" s="19" t="s">
        <v>56</v>
      </c>
      <c r="C6" s="3">
        <v>32.700000000000003</v>
      </c>
      <c r="D6" s="3">
        <v>31.8</v>
      </c>
      <c r="E6" s="3">
        <v>1</v>
      </c>
      <c r="F6" s="3">
        <v>0</v>
      </c>
      <c r="G6" s="3">
        <v>39.1</v>
      </c>
      <c r="H6" s="3">
        <v>39.1</v>
      </c>
      <c r="I6" s="3">
        <v>0</v>
      </c>
      <c r="J6" s="3">
        <v>1</v>
      </c>
      <c r="K6" s="11">
        <f t="shared" si="0"/>
        <v>35.900000000000006</v>
      </c>
      <c r="L6" s="11">
        <f t="shared" si="1"/>
        <v>35.450000000000003</v>
      </c>
      <c r="M6" s="3">
        <v>1.3</v>
      </c>
      <c r="N6" s="3">
        <v>1.3</v>
      </c>
      <c r="O6" s="3">
        <v>0</v>
      </c>
      <c r="P6" s="3">
        <v>1</v>
      </c>
      <c r="Q6" s="3">
        <v>1.5</v>
      </c>
      <c r="R6" s="3">
        <v>1.5</v>
      </c>
      <c r="S6" s="3">
        <v>1</v>
      </c>
      <c r="T6" s="3">
        <v>0</v>
      </c>
      <c r="U6" s="11">
        <f t="shared" si="2"/>
        <v>1.4</v>
      </c>
      <c r="V6" s="12">
        <f t="shared" si="3"/>
        <v>1.4</v>
      </c>
      <c r="W6">
        <v>11</v>
      </c>
      <c r="X6">
        <v>10.8</v>
      </c>
      <c r="Y6">
        <v>0</v>
      </c>
      <c r="Z6">
        <v>1</v>
      </c>
      <c r="AA6" s="1">
        <f t="shared" si="8"/>
        <v>2</v>
      </c>
      <c r="AB6" s="1">
        <f t="shared" si="9"/>
        <v>3</v>
      </c>
      <c r="AD6" s="1" t="str">
        <f t="shared" si="10"/>
        <v>Good</v>
      </c>
      <c r="AG6" s="1">
        <f t="shared" si="11"/>
        <v>0</v>
      </c>
      <c r="AH6" s="1">
        <f t="shared" si="11"/>
        <v>0</v>
      </c>
      <c r="AI6" s="1">
        <f t="shared" si="4"/>
        <v>3</v>
      </c>
      <c r="AJ6" s="1">
        <f t="shared" si="4"/>
        <v>2</v>
      </c>
      <c r="AK6" s="1">
        <f t="shared" si="4"/>
        <v>0</v>
      </c>
      <c r="AL6" s="1">
        <f t="shared" si="4"/>
        <v>0</v>
      </c>
      <c r="AM6" s="1">
        <f t="shared" si="4"/>
        <v>0</v>
      </c>
      <c r="AN6" s="1">
        <f t="shared" si="4"/>
        <v>0</v>
      </c>
      <c r="AO6" s="1" t="str">
        <f t="shared" si="12"/>
        <v>Good</v>
      </c>
      <c r="AP6" s="1">
        <f t="shared" si="13"/>
        <v>0</v>
      </c>
      <c r="AQ6" s="1">
        <f t="shared" si="5"/>
        <v>0</v>
      </c>
      <c r="AR6" s="1">
        <f t="shared" si="5"/>
        <v>35.450000000000003</v>
      </c>
      <c r="AS6" s="1">
        <f t="shared" si="5"/>
        <v>35.900000000000006</v>
      </c>
      <c r="AT6" s="1">
        <f t="shared" si="5"/>
        <v>0</v>
      </c>
      <c r="AU6" s="1">
        <f t="shared" si="5"/>
        <v>0</v>
      </c>
      <c r="AV6" s="1">
        <f t="shared" si="5"/>
        <v>0</v>
      </c>
      <c r="AW6" s="1">
        <f t="shared" si="5"/>
        <v>0</v>
      </c>
      <c r="AX6" s="1"/>
      <c r="AY6" s="1">
        <f t="shared" si="6"/>
        <v>0</v>
      </c>
      <c r="AZ6" s="1">
        <f t="shared" si="6"/>
        <v>0</v>
      </c>
      <c r="BA6" s="1">
        <f t="shared" si="6"/>
        <v>1.4</v>
      </c>
      <c r="BB6" s="1">
        <f t="shared" si="6"/>
        <v>1.4</v>
      </c>
      <c r="BC6" s="1">
        <f t="shared" si="6"/>
        <v>0</v>
      </c>
      <c r="BD6" s="1">
        <f t="shared" si="6"/>
        <v>0</v>
      </c>
      <c r="BE6" s="1">
        <f t="shared" si="6"/>
        <v>0</v>
      </c>
      <c r="BF6" s="1">
        <f t="shared" si="6"/>
        <v>0</v>
      </c>
      <c r="BG6" s="1"/>
      <c r="BH6" s="1">
        <f t="shared" si="7"/>
        <v>0</v>
      </c>
      <c r="BI6" s="1">
        <f t="shared" si="7"/>
        <v>0</v>
      </c>
      <c r="BJ6" s="1">
        <f t="shared" si="7"/>
        <v>10.8</v>
      </c>
      <c r="BK6" s="1">
        <f t="shared" si="7"/>
        <v>11</v>
      </c>
      <c r="BL6" s="1">
        <f t="shared" si="7"/>
        <v>0</v>
      </c>
      <c r="BM6" s="1">
        <f t="shared" si="7"/>
        <v>0</v>
      </c>
      <c r="BN6" s="1">
        <f t="shared" si="7"/>
        <v>0</v>
      </c>
      <c r="BO6" s="1">
        <f t="shared" si="7"/>
        <v>0</v>
      </c>
    </row>
    <row r="7" spans="1:68">
      <c r="A7" s="15" t="s">
        <v>56</v>
      </c>
      <c r="B7" s="16" t="s">
        <v>52</v>
      </c>
      <c r="C7" s="7">
        <v>39.549999999999997</v>
      </c>
      <c r="D7" s="7">
        <v>36.229999999999997</v>
      </c>
      <c r="E7" s="7">
        <v>1</v>
      </c>
      <c r="F7" s="7">
        <v>0</v>
      </c>
      <c r="G7" s="7">
        <v>20.04</v>
      </c>
      <c r="H7" s="7">
        <v>20.79</v>
      </c>
      <c r="I7" s="7">
        <v>1</v>
      </c>
      <c r="J7" s="7">
        <v>0</v>
      </c>
      <c r="K7" s="8">
        <f t="shared" si="0"/>
        <v>29.794999999999998</v>
      </c>
      <c r="L7" s="8">
        <f t="shared" si="1"/>
        <v>28.509999999999998</v>
      </c>
      <c r="M7" s="7">
        <v>0.93</v>
      </c>
      <c r="N7" s="7">
        <v>0.88</v>
      </c>
      <c r="O7" s="7">
        <v>1</v>
      </c>
      <c r="P7" s="7">
        <v>0</v>
      </c>
      <c r="Q7" s="7">
        <v>1.1200000000000001</v>
      </c>
      <c r="R7" s="7">
        <v>1.76</v>
      </c>
      <c r="S7" s="7">
        <v>0</v>
      </c>
      <c r="T7" s="7">
        <v>1</v>
      </c>
      <c r="U7" s="8">
        <f t="shared" si="2"/>
        <v>1.0250000000000001</v>
      </c>
      <c r="V7" s="9">
        <f t="shared" si="3"/>
        <v>1.32</v>
      </c>
      <c r="W7">
        <v>39.26</v>
      </c>
      <c r="X7">
        <v>39.86</v>
      </c>
      <c r="Y7">
        <v>1</v>
      </c>
      <c r="Z7">
        <v>0</v>
      </c>
      <c r="AA7" s="1">
        <f t="shared" si="8"/>
        <v>4</v>
      </c>
      <c r="AB7" s="1">
        <f t="shared" si="9"/>
        <v>1</v>
      </c>
      <c r="AD7" s="1" t="str">
        <f t="shared" si="10"/>
        <v>Good</v>
      </c>
      <c r="AG7" s="1">
        <f t="shared" si="11"/>
        <v>1</v>
      </c>
      <c r="AH7" s="1">
        <f t="shared" si="11"/>
        <v>0</v>
      </c>
      <c r="AI7" s="1">
        <f t="shared" si="4"/>
        <v>4</v>
      </c>
      <c r="AJ7" s="1">
        <f t="shared" si="4"/>
        <v>0</v>
      </c>
      <c r="AK7" s="1">
        <f t="shared" si="4"/>
        <v>0</v>
      </c>
      <c r="AL7" s="1">
        <f t="shared" si="4"/>
        <v>0</v>
      </c>
      <c r="AM7" s="1">
        <f t="shared" si="4"/>
        <v>0</v>
      </c>
      <c r="AN7" s="1">
        <f t="shared" si="4"/>
        <v>0</v>
      </c>
      <c r="AO7" s="1" t="str">
        <f t="shared" si="12"/>
        <v>Good</v>
      </c>
      <c r="AP7" s="1">
        <f t="shared" si="13"/>
        <v>28.509999999999998</v>
      </c>
      <c r="AQ7" s="1">
        <f t="shared" si="5"/>
        <v>0</v>
      </c>
      <c r="AR7" s="1">
        <f t="shared" si="5"/>
        <v>29.794999999999998</v>
      </c>
      <c r="AS7" s="1">
        <f t="shared" si="5"/>
        <v>0</v>
      </c>
      <c r="AT7" s="1">
        <f t="shared" si="5"/>
        <v>0</v>
      </c>
      <c r="AU7" s="1">
        <f t="shared" si="5"/>
        <v>0</v>
      </c>
      <c r="AV7" s="1">
        <f t="shared" si="5"/>
        <v>0</v>
      </c>
      <c r="AW7" s="1">
        <f t="shared" si="5"/>
        <v>0</v>
      </c>
      <c r="AX7" s="1"/>
      <c r="AY7" s="1">
        <f t="shared" si="6"/>
        <v>1.32</v>
      </c>
      <c r="AZ7" s="1">
        <f t="shared" si="6"/>
        <v>0</v>
      </c>
      <c r="BA7" s="1">
        <f t="shared" si="6"/>
        <v>1.0250000000000001</v>
      </c>
      <c r="BB7" s="1">
        <f t="shared" si="6"/>
        <v>0</v>
      </c>
      <c r="BC7" s="1">
        <f t="shared" si="6"/>
        <v>0</v>
      </c>
      <c r="BD7" s="1">
        <f t="shared" si="6"/>
        <v>0</v>
      </c>
      <c r="BE7" s="1">
        <f t="shared" si="6"/>
        <v>0</v>
      </c>
      <c r="BF7" s="1">
        <f t="shared" si="6"/>
        <v>0</v>
      </c>
      <c r="BG7" s="1"/>
      <c r="BH7" s="1">
        <f t="shared" si="7"/>
        <v>39.86</v>
      </c>
      <c r="BI7" s="1">
        <f t="shared" si="7"/>
        <v>0</v>
      </c>
      <c r="BJ7" s="1">
        <f t="shared" si="7"/>
        <v>39.26</v>
      </c>
      <c r="BK7" s="1">
        <f t="shared" si="7"/>
        <v>0</v>
      </c>
      <c r="BL7" s="1">
        <f t="shared" si="7"/>
        <v>0</v>
      </c>
      <c r="BM7" s="1">
        <f t="shared" si="7"/>
        <v>0</v>
      </c>
      <c r="BN7" s="1">
        <f t="shared" si="7"/>
        <v>0</v>
      </c>
      <c r="BO7" s="1">
        <f t="shared" si="7"/>
        <v>0</v>
      </c>
    </row>
    <row r="8" spans="1:68">
      <c r="A8" s="17" t="s">
        <v>54</v>
      </c>
      <c r="B8" s="14" t="s">
        <v>51</v>
      </c>
      <c r="C8">
        <v>34.6</v>
      </c>
      <c r="D8">
        <v>33.4</v>
      </c>
      <c r="E8">
        <v>0</v>
      </c>
      <c r="F8">
        <v>1</v>
      </c>
      <c r="G8">
        <v>47</v>
      </c>
      <c r="H8">
        <v>43.3</v>
      </c>
      <c r="I8">
        <v>1</v>
      </c>
      <c r="J8">
        <v>0</v>
      </c>
      <c r="K8" s="6">
        <f t="shared" si="0"/>
        <v>40.799999999999997</v>
      </c>
      <c r="L8" s="6">
        <f t="shared" si="1"/>
        <v>38.349999999999994</v>
      </c>
      <c r="M8">
        <v>1.1499999999999999</v>
      </c>
      <c r="N8">
        <v>1.19</v>
      </c>
      <c r="O8">
        <v>0</v>
      </c>
      <c r="P8">
        <v>1</v>
      </c>
      <c r="Q8">
        <v>1.67</v>
      </c>
      <c r="R8">
        <v>1.27</v>
      </c>
      <c r="S8">
        <v>1</v>
      </c>
      <c r="T8">
        <v>0</v>
      </c>
      <c r="U8" s="6">
        <f t="shared" si="2"/>
        <v>1.41</v>
      </c>
      <c r="V8" s="10">
        <f t="shared" si="3"/>
        <v>1.23</v>
      </c>
      <c r="W8">
        <v>21.8</v>
      </c>
      <c r="X8">
        <v>23.8</v>
      </c>
      <c r="Y8">
        <v>0</v>
      </c>
      <c r="Z8">
        <v>1</v>
      </c>
      <c r="AA8" s="1">
        <f t="shared" si="8"/>
        <v>2</v>
      </c>
      <c r="AB8" s="1">
        <f t="shared" si="9"/>
        <v>3</v>
      </c>
      <c r="AD8" s="1" t="str">
        <f t="shared" si="10"/>
        <v>Good</v>
      </c>
      <c r="AG8" s="1">
        <f t="shared" si="11"/>
        <v>0</v>
      </c>
      <c r="AH8" s="1">
        <f t="shared" si="11"/>
        <v>3</v>
      </c>
      <c r="AI8" s="1">
        <f t="shared" si="4"/>
        <v>0</v>
      </c>
      <c r="AJ8" s="1">
        <f t="shared" si="4"/>
        <v>2</v>
      </c>
      <c r="AK8" s="1">
        <f t="shared" si="4"/>
        <v>0</v>
      </c>
      <c r="AL8" s="1">
        <f t="shared" si="4"/>
        <v>0</v>
      </c>
      <c r="AM8" s="1">
        <f t="shared" si="4"/>
        <v>0</v>
      </c>
      <c r="AN8" s="1">
        <f t="shared" si="4"/>
        <v>0</v>
      </c>
      <c r="AO8" s="1" t="str">
        <f t="shared" si="12"/>
        <v>Good</v>
      </c>
      <c r="AP8" s="1">
        <f t="shared" si="13"/>
        <v>0</v>
      </c>
      <c r="AQ8" s="1">
        <f t="shared" si="5"/>
        <v>38.349999999999994</v>
      </c>
      <c r="AR8" s="1">
        <f t="shared" si="5"/>
        <v>0</v>
      </c>
      <c r="AS8" s="1">
        <f t="shared" si="5"/>
        <v>40.799999999999997</v>
      </c>
      <c r="AT8" s="1">
        <f t="shared" si="5"/>
        <v>0</v>
      </c>
      <c r="AU8" s="1">
        <f t="shared" si="5"/>
        <v>0</v>
      </c>
      <c r="AV8" s="1">
        <f t="shared" si="5"/>
        <v>0</v>
      </c>
      <c r="AW8" s="1">
        <f t="shared" si="5"/>
        <v>0</v>
      </c>
      <c r="AX8" s="1"/>
      <c r="AY8" s="1">
        <f t="shared" si="6"/>
        <v>0</v>
      </c>
      <c r="AZ8" s="1">
        <f t="shared" si="6"/>
        <v>1.23</v>
      </c>
      <c r="BA8" s="1">
        <f t="shared" si="6"/>
        <v>0</v>
      </c>
      <c r="BB8" s="1">
        <f t="shared" si="6"/>
        <v>1.41</v>
      </c>
      <c r="BC8" s="1">
        <f t="shared" si="6"/>
        <v>0</v>
      </c>
      <c r="BD8" s="1">
        <f t="shared" si="6"/>
        <v>0</v>
      </c>
      <c r="BE8" s="1">
        <f t="shared" si="6"/>
        <v>0</v>
      </c>
      <c r="BF8" s="1">
        <f t="shared" si="6"/>
        <v>0</v>
      </c>
      <c r="BG8" s="1"/>
      <c r="BH8" s="1">
        <f t="shared" si="7"/>
        <v>0</v>
      </c>
      <c r="BI8" s="1">
        <f t="shared" si="7"/>
        <v>23.8</v>
      </c>
      <c r="BJ8" s="1">
        <f t="shared" si="7"/>
        <v>0</v>
      </c>
      <c r="BK8" s="1">
        <f t="shared" si="7"/>
        <v>21.8</v>
      </c>
      <c r="BL8" s="1">
        <f t="shared" si="7"/>
        <v>0</v>
      </c>
      <c r="BM8" s="1">
        <f t="shared" si="7"/>
        <v>0</v>
      </c>
      <c r="BN8" s="1">
        <f t="shared" si="7"/>
        <v>0</v>
      </c>
      <c r="BO8" s="1">
        <f t="shared" si="7"/>
        <v>0</v>
      </c>
    </row>
    <row r="9" spans="1:68">
      <c r="A9" s="17" t="s">
        <v>44</v>
      </c>
      <c r="B9" s="14" t="s">
        <v>48</v>
      </c>
      <c r="C9">
        <v>41.6</v>
      </c>
      <c r="D9">
        <v>46.8</v>
      </c>
      <c r="E9">
        <v>0</v>
      </c>
      <c r="F9">
        <v>1</v>
      </c>
      <c r="G9">
        <v>38.5</v>
      </c>
      <c r="H9">
        <v>44.3</v>
      </c>
      <c r="I9">
        <v>1</v>
      </c>
      <c r="J9">
        <v>0</v>
      </c>
      <c r="K9" s="6">
        <f t="shared" si="0"/>
        <v>40.049999999999997</v>
      </c>
      <c r="L9" s="6">
        <f t="shared" si="1"/>
        <v>45.55</v>
      </c>
      <c r="M9">
        <v>1.1599999999999999</v>
      </c>
      <c r="N9">
        <v>1.1200000000000001</v>
      </c>
      <c r="O9">
        <v>1</v>
      </c>
      <c r="P9">
        <v>0</v>
      </c>
      <c r="Q9">
        <v>1.42</v>
      </c>
      <c r="R9">
        <v>1.25</v>
      </c>
      <c r="S9">
        <v>1</v>
      </c>
      <c r="T9">
        <v>0</v>
      </c>
      <c r="U9" s="6">
        <f t="shared" si="2"/>
        <v>1.29</v>
      </c>
      <c r="V9" s="10">
        <f t="shared" si="3"/>
        <v>1.1850000000000001</v>
      </c>
      <c r="W9">
        <v>29.3</v>
      </c>
      <c r="X9">
        <v>29.1</v>
      </c>
      <c r="Y9">
        <v>0</v>
      </c>
      <c r="Z9">
        <v>1</v>
      </c>
      <c r="AA9" s="1">
        <f t="shared" si="8"/>
        <v>3</v>
      </c>
      <c r="AB9" s="1">
        <f t="shared" si="9"/>
        <v>2</v>
      </c>
      <c r="AD9" s="1" t="str">
        <f t="shared" si="10"/>
        <v>Good</v>
      </c>
      <c r="AG9" s="1">
        <f t="shared" si="11"/>
        <v>0</v>
      </c>
      <c r="AH9" s="1">
        <f t="shared" si="11"/>
        <v>0</v>
      </c>
      <c r="AI9" s="1">
        <f t="shared" si="4"/>
        <v>0</v>
      </c>
      <c r="AJ9" s="1">
        <f t="shared" si="4"/>
        <v>0</v>
      </c>
      <c r="AK9" s="1">
        <f t="shared" si="4"/>
        <v>0</v>
      </c>
      <c r="AL9" s="1">
        <f t="shared" si="4"/>
        <v>2</v>
      </c>
      <c r="AM9" s="1">
        <f t="shared" si="4"/>
        <v>0</v>
      </c>
      <c r="AN9" s="1">
        <f t="shared" si="4"/>
        <v>3</v>
      </c>
      <c r="AO9" s="1" t="str">
        <f t="shared" si="12"/>
        <v>Good</v>
      </c>
      <c r="AP9" s="1">
        <f t="shared" si="13"/>
        <v>0</v>
      </c>
      <c r="AQ9" s="1">
        <f t="shared" si="5"/>
        <v>0</v>
      </c>
      <c r="AR9" s="1">
        <f t="shared" si="5"/>
        <v>0</v>
      </c>
      <c r="AS9" s="1">
        <f t="shared" si="5"/>
        <v>0</v>
      </c>
      <c r="AT9" s="1">
        <f t="shared" si="5"/>
        <v>0</v>
      </c>
      <c r="AU9" s="1">
        <f t="shared" si="5"/>
        <v>45.55</v>
      </c>
      <c r="AV9" s="1">
        <f t="shared" si="5"/>
        <v>0</v>
      </c>
      <c r="AW9" s="1">
        <f t="shared" si="5"/>
        <v>40.049999999999997</v>
      </c>
      <c r="AX9" s="1"/>
      <c r="AY9" s="1">
        <f t="shared" si="6"/>
        <v>0</v>
      </c>
      <c r="AZ9" s="1">
        <f t="shared" si="6"/>
        <v>0</v>
      </c>
      <c r="BA9" s="1">
        <f t="shared" si="6"/>
        <v>0</v>
      </c>
      <c r="BB9" s="1">
        <f t="shared" si="6"/>
        <v>0</v>
      </c>
      <c r="BC9" s="1">
        <f t="shared" si="6"/>
        <v>0</v>
      </c>
      <c r="BD9" s="1">
        <f t="shared" si="6"/>
        <v>1.1850000000000001</v>
      </c>
      <c r="BE9" s="1">
        <f t="shared" si="6"/>
        <v>0</v>
      </c>
      <c r="BF9" s="1">
        <f t="shared" si="6"/>
        <v>1.29</v>
      </c>
      <c r="BG9" s="1"/>
      <c r="BH9" s="1">
        <f t="shared" si="7"/>
        <v>0</v>
      </c>
      <c r="BI9" s="1">
        <f t="shared" si="7"/>
        <v>0</v>
      </c>
      <c r="BJ9" s="1">
        <f t="shared" si="7"/>
        <v>0</v>
      </c>
      <c r="BK9" s="1">
        <f t="shared" si="7"/>
        <v>0</v>
      </c>
      <c r="BL9" s="1">
        <f t="shared" si="7"/>
        <v>0</v>
      </c>
      <c r="BM9" s="1">
        <f t="shared" si="7"/>
        <v>29.1</v>
      </c>
      <c r="BN9" s="1">
        <f t="shared" si="7"/>
        <v>0</v>
      </c>
      <c r="BO9" s="1">
        <f t="shared" si="7"/>
        <v>29.3</v>
      </c>
    </row>
    <row r="10" spans="1:68">
      <c r="A10" s="18" t="s">
        <v>46</v>
      </c>
      <c r="B10" s="19" t="s">
        <v>49</v>
      </c>
      <c r="C10" s="3">
        <v>32.6</v>
      </c>
      <c r="D10" s="3">
        <v>37.6</v>
      </c>
      <c r="E10" s="3">
        <v>0</v>
      </c>
      <c r="F10" s="3">
        <v>1</v>
      </c>
      <c r="G10" s="3">
        <v>43.1</v>
      </c>
      <c r="H10" s="3">
        <v>48.5</v>
      </c>
      <c r="I10" s="3">
        <v>0</v>
      </c>
      <c r="J10" s="3">
        <v>1</v>
      </c>
      <c r="K10" s="11">
        <f t="shared" si="0"/>
        <v>37.85</v>
      </c>
      <c r="L10" s="11">
        <f t="shared" si="1"/>
        <v>43.05</v>
      </c>
      <c r="M10" s="3">
        <v>1.42</v>
      </c>
      <c r="N10" s="3">
        <v>1.6</v>
      </c>
      <c r="O10" s="3">
        <v>0</v>
      </c>
      <c r="P10" s="3">
        <v>1</v>
      </c>
      <c r="Q10" s="3">
        <v>0.73</v>
      </c>
      <c r="R10" s="3">
        <v>0.93</v>
      </c>
      <c r="S10" s="3">
        <v>0</v>
      </c>
      <c r="T10" s="3">
        <v>1</v>
      </c>
      <c r="U10" s="11">
        <f t="shared" si="2"/>
        <v>1.075</v>
      </c>
      <c r="V10" s="12">
        <f t="shared" si="3"/>
        <v>1.2650000000000001</v>
      </c>
      <c r="W10">
        <v>17.399999999999999</v>
      </c>
      <c r="X10">
        <v>16.3</v>
      </c>
      <c r="Y10">
        <v>1</v>
      </c>
      <c r="Z10">
        <v>0</v>
      </c>
      <c r="AA10" s="1">
        <f t="shared" si="8"/>
        <v>1</v>
      </c>
      <c r="AB10" s="1">
        <f t="shared" si="9"/>
        <v>4</v>
      </c>
      <c r="AD10" s="1" t="str">
        <f t="shared" si="10"/>
        <v>Good</v>
      </c>
      <c r="AG10" s="1">
        <f t="shared" si="11"/>
        <v>0</v>
      </c>
      <c r="AH10" s="1">
        <f t="shared" si="11"/>
        <v>0</v>
      </c>
      <c r="AI10" s="1">
        <f t="shared" si="4"/>
        <v>0</v>
      </c>
      <c r="AJ10" s="1">
        <f t="shared" si="4"/>
        <v>0</v>
      </c>
      <c r="AK10" s="1">
        <f t="shared" si="4"/>
        <v>4</v>
      </c>
      <c r="AL10" s="1">
        <f t="shared" si="4"/>
        <v>0</v>
      </c>
      <c r="AM10" s="1">
        <f t="shared" si="4"/>
        <v>1</v>
      </c>
      <c r="AN10" s="1">
        <f t="shared" si="4"/>
        <v>0</v>
      </c>
      <c r="AO10" s="1" t="str">
        <f t="shared" si="12"/>
        <v>Good</v>
      </c>
      <c r="AP10" s="1">
        <f t="shared" si="13"/>
        <v>0</v>
      </c>
      <c r="AQ10" s="1">
        <f t="shared" si="5"/>
        <v>0</v>
      </c>
      <c r="AR10" s="1">
        <f t="shared" si="5"/>
        <v>0</v>
      </c>
      <c r="AS10" s="1">
        <f t="shared" si="5"/>
        <v>0</v>
      </c>
      <c r="AT10" s="1">
        <f t="shared" si="5"/>
        <v>43.05</v>
      </c>
      <c r="AU10" s="1">
        <f t="shared" si="5"/>
        <v>0</v>
      </c>
      <c r="AV10" s="1">
        <f t="shared" si="5"/>
        <v>37.85</v>
      </c>
      <c r="AW10" s="1">
        <f t="shared" si="5"/>
        <v>0</v>
      </c>
      <c r="AX10" s="1"/>
      <c r="AY10" s="1">
        <f t="shared" si="6"/>
        <v>0</v>
      </c>
      <c r="AZ10" s="1">
        <f t="shared" si="6"/>
        <v>0</v>
      </c>
      <c r="BA10" s="1">
        <f t="shared" si="6"/>
        <v>0</v>
      </c>
      <c r="BB10" s="1">
        <f t="shared" si="6"/>
        <v>0</v>
      </c>
      <c r="BC10" s="1">
        <f t="shared" si="6"/>
        <v>1.2650000000000001</v>
      </c>
      <c r="BD10" s="1">
        <f t="shared" si="6"/>
        <v>0</v>
      </c>
      <c r="BE10" s="1">
        <f t="shared" si="6"/>
        <v>1.075</v>
      </c>
      <c r="BF10" s="1">
        <f t="shared" si="6"/>
        <v>0</v>
      </c>
      <c r="BG10" s="1"/>
      <c r="BH10" s="1">
        <f t="shared" si="7"/>
        <v>0</v>
      </c>
      <c r="BI10" s="1">
        <f t="shared" si="7"/>
        <v>0</v>
      </c>
      <c r="BJ10" s="1">
        <f t="shared" si="7"/>
        <v>0</v>
      </c>
      <c r="BK10" s="1">
        <f t="shared" si="7"/>
        <v>0</v>
      </c>
      <c r="BL10" s="1">
        <f t="shared" si="7"/>
        <v>16.3</v>
      </c>
      <c r="BM10" s="1">
        <f t="shared" si="7"/>
        <v>0</v>
      </c>
      <c r="BN10" s="1">
        <f t="shared" si="7"/>
        <v>17.399999999999999</v>
      </c>
      <c r="BO10" s="1">
        <f t="shared" si="7"/>
        <v>0</v>
      </c>
    </row>
    <row r="11" spans="1:68">
      <c r="A11" s="15" t="s">
        <v>48</v>
      </c>
      <c r="B11" s="16" t="s">
        <v>51</v>
      </c>
      <c r="C11" s="7">
        <v>34.950000000000003</v>
      </c>
      <c r="D11" s="7">
        <v>25.5</v>
      </c>
      <c r="E11" s="7">
        <v>1</v>
      </c>
      <c r="F11" s="7">
        <v>0</v>
      </c>
      <c r="G11" s="7">
        <v>36.659999999999997</v>
      </c>
      <c r="H11" s="7">
        <v>35.5</v>
      </c>
      <c r="I11" s="7">
        <v>1</v>
      </c>
      <c r="J11" s="7">
        <v>0</v>
      </c>
      <c r="K11" s="8">
        <f t="shared" si="0"/>
        <v>35.805</v>
      </c>
      <c r="L11" s="8">
        <f t="shared" si="1"/>
        <v>30.5</v>
      </c>
      <c r="M11" s="7">
        <v>1.06</v>
      </c>
      <c r="N11" s="7">
        <v>1.21</v>
      </c>
      <c r="O11" s="7">
        <v>0</v>
      </c>
      <c r="P11" s="7">
        <v>1</v>
      </c>
      <c r="Q11" s="7">
        <v>1.27</v>
      </c>
      <c r="R11" s="7">
        <v>1</v>
      </c>
      <c r="S11" s="7">
        <v>1</v>
      </c>
      <c r="T11" s="7">
        <v>0</v>
      </c>
      <c r="U11" s="8">
        <f t="shared" si="2"/>
        <v>1.165</v>
      </c>
      <c r="V11" s="9">
        <f t="shared" si="3"/>
        <v>1.105</v>
      </c>
      <c r="W11">
        <v>13.5</v>
      </c>
      <c r="X11">
        <v>13.18</v>
      </c>
      <c r="Y11">
        <v>0</v>
      </c>
      <c r="Z11">
        <v>1</v>
      </c>
      <c r="AA11" s="1">
        <f t="shared" si="8"/>
        <v>3</v>
      </c>
      <c r="AB11" s="1">
        <f t="shared" si="9"/>
        <v>2</v>
      </c>
      <c r="AD11" s="1" t="str">
        <f t="shared" si="10"/>
        <v>Good</v>
      </c>
      <c r="AG11" s="1">
        <f t="shared" si="11"/>
        <v>0</v>
      </c>
      <c r="AH11" s="1">
        <f t="shared" si="11"/>
        <v>2</v>
      </c>
      <c r="AI11" s="1">
        <f t="shared" si="4"/>
        <v>0</v>
      </c>
      <c r="AJ11" s="1">
        <f t="shared" si="4"/>
        <v>0</v>
      </c>
      <c r="AK11" s="1">
        <f t="shared" si="4"/>
        <v>0</v>
      </c>
      <c r="AL11" s="1">
        <f t="shared" si="4"/>
        <v>3</v>
      </c>
      <c r="AM11" s="1">
        <f t="shared" si="4"/>
        <v>0</v>
      </c>
      <c r="AN11" s="1">
        <f t="shared" si="4"/>
        <v>0</v>
      </c>
      <c r="AO11" s="1" t="str">
        <f t="shared" si="12"/>
        <v>Good</v>
      </c>
      <c r="AP11" s="1">
        <f t="shared" si="13"/>
        <v>0</v>
      </c>
      <c r="AQ11" s="1">
        <f t="shared" si="5"/>
        <v>30.5</v>
      </c>
      <c r="AR11" s="1">
        <f t="shared" si="5"/>
        <v>0</v>
      </c>
      <c r="AS11" s="1">
        <f t="shared" si="5"/>
        <v>0</v>
      </c>
      <c r="AT11" s="1">
        <f t="shared" si="5"/>
        <v>0</v>
      </c>
      <c r="AU11" s="1">
        <f t="shared" si="5"/>
        <v>35.805</v>
      </c>
      <c r="AV11" s="1">
        <f t="shared" si="5"/>
        <v>0</v>
      </c>
      <c r="AW11" s="1">
        <f t="shared" si="5"/>
        <v>0</v>
      </c>
      <c r="AX11" s="1"/>
      <c r="AY11" s="1">
        <f t="shared" si="6"/>
        <v>0</v>
      </c>
      <c r="AZ11" s="1">
        <f t="shared" si="6"/>
        <v>1.105</v>
      </c>
      <c r="BA11" s="1">
        <f t="shared" si="6"/>
        <v>0</v>
      </c>
      <c r="BB11" s="1">
        <f t="shared" si="6"/>
        <v>0</v>
      </c>
      <c r="BC11" s="1">
        <f t="shared" si="6"/>
        <v>0</v>
      </c>
      <c r="BD11" s="1">
        <f t="shared" si="6"/>
        <v>1.165</v>
      </c>
      <c r="BE11" s="1">
        <f t="shared" si="6"/>
        <v>0</v>
      </c>
      <c r="BF11" s="1">
        <f t="shared" si="6"/>
        <v>0</v>
      </c>
      <c r="BG11" s="1"/>
      <c r="BH11" s="1">
        <f t="shared" si="7"/>
        <v>0</v>
      </c>
      <c r="BI11" s="1">
        <f t="shared" si="7"/>
        <v>13.18</v>
      </c>
      <c r="BJ11" s="1">
        <f t="shared" si="7"/>
        <v>0</v>
      </c>
      <c r="BK11" s="1">
        <f t="shared" si="7"/>
        <v>0</v>
      </c>
      <c r="BL11" s="1">
        <f t="shared" si="7"/>
        <v>0</v>
      </c>
      <c r="BM11" s="1">
        <f t="shared" si="7"/>
        <v>13.5</v>
      </c>
      <c r="BN11" s="1">
        <f t="shared" si="7"/>
        <v>0</v>
      </c>
      <c r="BO11" s="1">
        <f t="shared" si="7"/>
        <v>0</v>
      </c>
    </row>
    <row r="12" spans="1:68">
      <c r="A12" s="17" t="s">
        <v>56</v>
      </c>
      <c r="B12" s="14" t="s">
        <v>46</v>
      </c>
      <c r="C12">
        <v>32.700000000000003</v>
      </c>
      <c r="D12">
        <v>30.31</v>
      </c>
      <c r="E12">
        <v>1</v>
      </c>
      <c r="F12">
        <v>0</v>
      </c>
      <c r="G12">
        <v>50.1</v>
      </c>
      <c r="H12">
        <v>43.8</v>
      </c>
      <c r="I12">
        <v>1</v>
      </c>
      <c r="J12">
        <v>0</v>
      </c>
      <c r="K12" s="6">
        <f t="shared" si="0"/>
        <v>41.400000000000006</v>
      </c>
      <c r="L12" s="6">
        <f t="shared" si="1"/>
        <v>37.055</v>
      </c>
      <c r="M12">
        <v>1.45</v>
      </c>
      <c r="N12">
        <v>0.86</v>
      </c>
      <c r="O12">
        <v>1</v>
      </c>
      <c r="P12">
        <v>0</v>
      </c>
      <c r="Q12">
        <v>1.5</v>
      </c>
      <c r="R12">
        <v>1.39</v>
      </c>
      <c r="S12">
        <v>1</v>
      </c>
      <c r="T12">
        <v>0</v>
      </c>
      <c r="U12" s="6">
        <f t="shared" si="2"/>
        <v>1.4750000000000001</v>
      </c>
      <c r="V12" s="10">
        <f t="shared" si="3"/>
        <v>1.125</v>
      </c>
      <c r="W12">
        <v>29.9</v>
      </c>
      <c r="X12">
        <v>28.22</v>
      </c>
      <c r="Y12">
        <v>0</v>
      </c>
      <c r="Z12">
        <v>1</v>
      </c>
      <c r="AA12" s="1">
        <f t="shared" si="8"/>
        <v>4</v>
      </c>
      <c r="AB12" s="1">
        <f t="shared" si="9"/>
        <v>1</v>
      </c>
      <c r="AD12" s="1" t="str">
        <f t="shared" si="10"/>
        <v>Good</v>
      </c>
      <c r="AG12" s="1">
        <f t="shared" si="11"/>
        <v>0</v>
      </c>
      <c r="AH12" s="1">
        <f t="shared" si="11"/>
        <v>0</v>
      </c>
      <c r="AI12" s="1">
        <f t="shared" si="4"/>
        <v>4</v>
      </c>
      <c r="AJ12" s="1">
        <f t="shared" si="4"/>
        <v>0</v>
      </c>
      <c r="AK12" s="1">
        <f t="shared" si="4"/>
        <v>0</v>
      </c>
      <c r="AL12" s="1">
        <f t="shared" si="4"/>
        <v>0</v>
      </c>
      <c r="AM12" s="1">
        <f t="shared" si="4"/>
        <v>1</v>
      </c>
      <c r="AN12" s="1">
        <f t="shared" si="4"/>
        <v>0</v>
      </c>
      <c r="AO12" s="1" t="str">
        <f t="shared" si="12"/>
        <v>Good</v>
      </c>
      <c r="AP12" s="1">
        <f t="shared" si="13"/>
        <v>0</v>
      </c>
      <c r="AQ12" s="1">
        <f t="shared" si="5"/>
        <v>0</v>
      </c>
      <c r="AR12" s="1">
        <f t="shared" si="5"/>
        <v>41.400000000000006</v>
      </c>
      <c r="AS12" s="1">
        <f t="shared" si="5"/>
        <v>0</v>
      </c>
      <c r="AT12" s="1">
        <f t="shared" si="5"/>
        <v>0</v>
      </c>
      <c r="AU12" s="1">
        <f t="shared" si="5"/>
        <v>0</v>
      </c>
      <c r="AV12" s="1">
        <f t="shared" si="5"/>
        <v>37.055</v>
      </c>
      <c r="AW12" s="1">
        <f t="shared" si="5"/>
        <v>0</v>
      </c>
      <c r="AX12" s="1"/>
      <c r="AY12" s="1">
        <f t="shared" si="6"/>
        <v>0</v>
      </c>
      <c r="AZ12" s="1">
        <f t="shared" si="6"/>
        <v>0</v>
      </c>
      <c r="BA12" s="1">
        <f t="shared" si="6"/>
        <v>1.4750000000000001</v>
      </c>
      <c r="BB12" s="1">
        <f t="shared" si="6"/>
        <v>0</v>
      </c>
      <c r="BC12" s="1">
        <f t="shared" si="6"/>
        <v>0</v>
      </c>
      <c r="BD12" s="1">
        <f t="shared" si="6"/>
        <v>0</v>
      </c>
      <c r="BE12" s="1">
        <f t="shared" si="6"/>
        <v>1.125</v>
      </c>
      <c r="BF12" s="1">
        <f t="shared" si="6"/>
        <v>0</v>
      </c>
      <c r="BG12" s="1"/>
      <c r="BH12" s="1">
        <f t="shared" si="7"/>
        <v>0</v>
      </c>
      <c r="BI12" s="1">
        <f t="shared" si="7"/>
        <v>0</v>
      </c>
      <c r="BJ12" s="1">
        <f t="shared" si="7"/>
        <v>29.9</v>
      </c>
      <c r="BK12" s="1">
        <f t="shared" si="7"/>
        <v>0</v>
      </c>
      <c r="BL12" s="1">
        <f t="shared" si="7"/>
        <v>0</v>
      </c>
      <c r="BM12" s="1">
        <f t="shared" si="7"/>
        <v>0</v>
      </c>
      <c r="BN12" s="1">
        <f t="shared" si="7"/>
        <v>28.22</v>
      </c>
      <c r="BO12" s="1">
        <f t="shared" si="7"/>
        <v>0</v>
      </c>
    </row>
    <row r="13" spans="1:68">
      <c r="A13" s="17" t="s">
        <v>54</v>
      </c>
      <c r="B13" s="14" t="s">
        <v>49</v>
      </c>
      <c r="C13">
        <v>24.24</v>
      </c>
      <c r="D13">
        <v>24.85</v>
      </c>
      <c r="E13">
        <v>1</v>
      </c>
      <c r="F13">
        <v>0</v>
      </c>
      <c r="G13">
        <v>30.75</v>
      </c>
      <c r="H13">
        <v>30.06</v>
      </c>
      <c r="I13">
        <v>0</v>
      </c>
      <c r="J13">
        <v>1</v>
      </c>
      <c r="K13" s="6">
        <f t="shared" si="0"/>
        <v>27.494999999999997</v>
      </c>
      <c r="L13" s="6">
        <f t="shared" si="1"/>
        <v>27.454999999999998</v>
      </c>
      <c r="M13">
        <v>1.37</v>
      </c>
      <c r="N13">
        <v>1</v>
      </c>
      <c r="O13">
        <v>1</v>
      </c>
      <c r="P13">
        <v>0</v>
      </c>
      <c r="Q13">
        <v>1.37</v>
      </c>
      <c r="R13">
        <v>1.1599999999999999</v>
      </c>
      <c r="S13">
        <v>1</v>
      </c>
      <c r="T13">
        <v>0</v>
      </c>
      <c r="U13" s="6">
        <f t="shared" si="2"/>
        <v>1.37</v>
      </c>
      <c r="V13" s="10">
        <f t="shared" si="3"/>
        <v>1.08</v>
      </c>
      <c r="W13">
        <v>34.729999999999997</v>
      </c>
      <c r="X13">
        <v>30.62</v>
      </c>
      <c r="Y13">
        <v>1</v>
      </c>
      <c r="Z13">
        <v>0</v>
      </c>
      <c r="AA13" s="1">
        <f t="shared" si="8"/>
        <v>4</v>
      </c>
      <c r="AB13" s="1">
        <f t="shared" si="9"/>
        <v>1</v>
      </c>
      <c r="AD13" s="1" t="str">
        <f t="shared" si="10"/>
        <v>Good</v>
      </c>
      <c r="AG13" s="1">
        <f t="shared" si="11"/>
        <v>0</v>
      </c>
      <c r="AH13" s="1">
        <f t="shared" si="11"/>
        <v>0</v>
      </c>
      <c r="AI13" s="1">
        <f t="shared" si="4"/>
        <v>0</v>
      </c>
      <c r="AJ13" s="1">
        <f t="shared" si="4"/>
        <v>4</v>
      </c>
      <c r="AK13" s="1">
        <f t="shared" si="4"/>
        <v>1</v>
      </c>
      <c r="AL13" s="1">
        <f t="shared" si="4"/>
        <v>0</v>
      </c>
      <c r="AM13" s="1">
        <f t="shared" si="4"/>
        <v>0</v>
      </c>
      <c r="AN13" s="1">
        <f t="shared" si="4"/>
        <v>0</v>
      </c>
      <c r="AO13" s="1" t="str">
        <f t="shared" si="12"/>
        <v>Good</v>
      </c>
      <c r="AP13" s="1">
        <f t="shared" si="13"/>
        <v>0</v>
      </c>
      <c r="AQ13" s="1">
        <f t="shared" si="5"/>
        <v>0</v>
      </c>
      <c r="AR13" s="1">
        <f t="shared" si="5"/>
        <v>0</v>
      </c>
      <c r="AS13" s="1">
        <f t="shared" si="5"/>
        <v>27.494999999999997</v>
      </c>
      <c r="AT13" s="1">
        <f t="shared" si="5"/>
        <v>27.454999999999998</v>
      </c>
      <c r="AU13" s="1">
        <f t="shared" si="5"/>
        <v>0</v>
      </c>
      <c r="AV13" s="1">
        <f t="shared" si="5"/>
        <v>0</v>
      </c>
      <c r="AW13" s="1">
        <f t="shared" si="5"/>
        <v>0</v>
      </c>
      <c r="AX13" s="1"/>
      <c r="AY13" s="1">
        <f t="shared" si="6"/>
        <v>0</v>
      </c>
      <c r="AZ13" s="1">
        <f t="shared" si="6"/>
        <v>0</v>
      </c>
      <c r="BA13" s="1">
        <f t="shared" si="6"/>
        <v>0</v>
      </c>
      <c r="BB13" s="1">
        <f t="shared" si="6"/>
        <v>1.37</v>
      </c>
      <c r="BC13" s="1">
        <f t="shared" si="6"/>
        <v>1.08</v>
      </c>
      <c r="BD13" s="1">
        <f t="shared" si="6"/>
        <v>0</v>
      </c>
      <c r="BE13" s="1">
        <f t="shared" si="6"/>
        <v>0</v>
      </c>
      <c r="BF13" s="1">
        <f t="shared" si="6"/>
        <v>0</v>
      </c>
      <c r="BG13" s="1"/>
      <c r="BH13" s="1">
        <f t="shared" si="7"/>
        <v>0</v>
      </c>
      <c r="BI13" s="1">
        <f t="shared" si="7"/>
        <v>0</v>
      </c>
      <c r="BJ13" s="1">
        <f t="shared" si="7"/>
        <v>0</v>
      </c>
      <c r="BK13" s="1">
        <f t="shared" si="7"/>
        <v>34.729999999999997</v>
      </c>
      <c r="BL13" s="1">
        <f t="shared" si="7"/>
        <v>30.62</v>
      </c>
      <c r="BM13" s="1">
        <f t="shared" si="7"/>
        <v>0</v>
      </c>
      <c r="BN13" s="1">
        <f t="shared" si="7"/>
        <v>0</v>
      </c>
      <c r="BO13" s="1">
        <f t="shared" si="7"/>
        <v>0</v>
      </c>
    </row>
    <row r="14" spans="1:68">
      <c r="A14" s="18" t="s">
        <v>44</v>
      </c>
      <c r="B14" s="19" t="s">
        <v>52</v>
      </c>
      <c r="C14" s="3">
        <v>32.729999999999997</v>
      </c>
      <c r="D14" s="3">
        <v>31.98</v>
      </c>
      <c r="E14" s="3">
        <v>0</v>
      </c>
      <c r="F14" s="3">
        <v>1</v>
      </c>
      <c r="G14" s="3">
        <v>39.6</v>
      </c>
      <c r="H14" s="3">
        <v>40.42</v>
      </c>
      <c r="I14" s="3">
        <v>1</v>
      </c>
      <c r="J14" s="3">
        <v>0</v>
      </c>
      <c r="K14" s="11">
        <f t="shared" si="0"/>
        <v>36.164999999999999</v>
      </c>
      <c r="L14" s="11">
        <f t="shared" si="1"/>
        <v>36.200000000000003</v>
      </c>
      <c r="M14" s="3">
        <v>1.57</v>
      </c>
      <c r="N14" s="3">
        <v>1.55</v>
      </c>
      <c r="O14" s="3">
        <v>0</v>
      </c>
      <c r="P14" s="3">
        <v>1</v>
      </c>
      <c r="Q14" s="3">
        <v>1.32</v>
      </c>
      <c r="R14" s="3">
        <v>2.0499999999999998</v>
      </c>
      <c r="S14" s="3">
        <v>0</v>
      </c>
      <c r="T14" s="3">
        <v>1</v>
      </c>
      <c r="U14" s="11">
        <f t="shared" si="2"/>
        <v>1.4450000000000001</v>
      </c>
      <c r="V14" s="12">
        <f t="shared" si="3"/>
        <v>1.7999999999999998</v>
      </c>
      <c r="W14">
        <v>43</v>
      </c>
      <c r="X14">
        <v>35.799999999999997</v>
      </c>
      <c r="Y14">
        <v>1</v>
      </c>
      <c r="Z14">
        <v>0</v>
      </c>
      <c r="AA14" s="1">
        <f t="shared" si="8"/>
        <v>2</v>
      </c>
      <c r="AB14" s="1">
        <f t="shared" si="9"/>
        <v>3</v>
      </c>
      <c r="AD14" s="1" t="str">
        <f t="shared" si="10"/>
        <v>Good</v>
      </c>
      <c r="AG14" s="1">
        <f t="shared" si="11"/>
        <v>3</v>
      </c>
      <c r="AH14" s="1">
        <f t="shared" si="11"/>
        <v>0</v>
      </c>
      <c r="AI14" s="1">
        <f t="shared" si="4"/>
        <v>0</v>
      </c>
      <c r="AJ14" s="1">
        <f t="shared" si="4"/>
        <v>0</v>
      </c>
      <c r="AK14" s="1">
        <f t="shared" si="4"/>
        <v>0</v>
      </c>
      <c r="AL14" s="1">
        <f t="shared" si="4"/>
        <v>0</v>
      </c>
      <c r="AM14" s="1">
        <f t="shared" si="4"/>
        <v>0</v>
      </c>
      <c r="AN14" s="1">
        <f t="shared" si="4"/>
        <v>2</v>
      </c>
      <c r="AO14" s="1" t="str">
        <f t="shared" si="12"/>
        <v>Good</v>
      </c>
      <c r="AP14" s="1">
        <f t="shared" si="13"/>
        <v>36.200000000000003</v>
      </c>
      <c r="AQ14" s="1">
        <f t="shared" si="5"/>
        <v>0</v>
      </c>
      <c r="AR14" s="1">
        <f t="shared" si="5"/>
        <v>0</v>
      </c>
      <c r="AS14" s="1">
        <f t="shared" si="5"/>
        <v>0</v>
      </c>
      <c r="AT14" s="1">
        <f t="shared" si="5"/>
        <v>0</v>
      </c>
      <c r="AU14" s="1">
        <f t="shared" si="5"/>
        <v>0</v>
      </c>
      <c r="AV14" s="1">
        <f t="shared" si="5"/>
        <v>0</v>
      </c>
      <c r="AW14" s="1">
        <f t="shared" si="5"/>
        <v>36.164999999999999</v>
      </c>
      <c r="AX14" s="1"/>
      <c r="AY14" s="1">
        <f t="shared" si="6"/>
        <v>1.7999999999999998</v>
      </c>
      <c r="AZ14" s="1">
        <f t="shared" si="6"/>
        <v>0</v>
      </c>
      <c r="BA14" s="1">
        <f t="shared" si="6"/>
        <v>0</v>
      </c>
      <c r="BB14" s="1">
        <f t="shared" si="6"/>
        <v>0</v>
      </c>
      <c r="BC14" s="1">
        <f t="shared" si="6"/>
        <v>0</v>
      </c>
      <c r="BD14" s="1">
        <f t="shared" si="6"/>
        <v>0</v>
      </c>
      <c r="BE14" s="1">
        <f t="shared" si="6"/>
        <v>0</v>
      </c>
      <c r="BF14" s="1">
        <f t="shared" si="6"/>
        <v>1.4450000000000001</v>
      </c>
      <c r="BG14" s="1"/>
      <c r="BH14" s="1">
        <f t="shared" si="7"/>
        <v>35.799999999999997</v>
      </c>
      <c r="BI14" s="1">
        <f t="shared" si="7"/>
        <v>0</v>
      </c>
      <c r="BJ14" s="1">
        <f t="shared" si="7"/>
        <v>0</v>
      </c>
      <c r="BK14" s="1">
        <f t="shared" si="7"/>
        <v>0</v>
      </c>
      <c r="BL14" s="1">
        <f t="shared" si="7"/>
        <v>0</v>
      </c>
      <c r="BM14" s="1">
        <f t="shared" si="7"/>
        <v>0</v>
      </c>
      <c r="BN14" s="1">
        <f t="shared" si="7"/>
        <v>0</v>
      </c>
      <c r="BO14" s="1">
        <f t="shared" si="7"/>
        <v>43</v>
      </c>
    </row>
    <row r="15" spans="1:68">
      <c r="A15" s="15" t="s">
        <v>54</v>
      </c>
      <c r="B15" s="16" t="s">
        <v>44</v>
      </c>
      <c r="C15" s="7">
        <v>30.67</v>
      </c>
      <c r="D15" s="7">
        <v>31.19</v>
      </c>
      <c r="E15" s="7">
        <v>1</v>
      </c>
      <c r="F15" s="7">
        <v>0</v>
      </c>
      <c r="G15" s="7">
        <v>39.549999999999997</v>
      </c>
      <c r="H15" s="7">
        <v>35.85</v>
      </c>
      <c r="I15" s="7">
        <v>1</v>
      </c>
      <c r="J15" s="7">
        <v>0</v>
      </c>
      <c r="K15" s="8">
        <f t="shared" si="0"/>
        <v>35.11</v>
      </c>
      <c r="L15" s="8">
        <f t="shared" si="1"/>
        <v>33.520000000000003</v>
      </c>
      <c r="M15" s="7">
        <v>1.5</v>
      </c>
      <c r="N15" s="7">
        <v>1.53</v>
      </c>
      <c r="O15" s="7">
        <v>0</v>
      </c>
      <c r="P15" s="7">
        <v>1</v>
      </c>
      <c r="Q15" s="7">
        <v>1.43</v>
      </c>
      <c r="R15" s="7">
        <v>1.26</v>
      </c>
      <c r="S15" s="7">
        <v>1</v>
      </c>
      <c r="T15" s="7">
        <v>0</v>
      </c>
      <c r="U15" s="8">
        <f t="shared" si="2"/>
        <v>1.4649999999999999</v>
      </c>
      <c r="V15" s="9">
        <f t="shared" si="3"/>
        <v>1.395</v>
      </c>
      <c r="W15">
        <v>32.299999999999997</v>
      </c>
      <c r="X15">
        <v>36.1</v>
      </c>
      <c r="Y15">
        <v>0</v>
      </c>
      <c r="Z15">
        <v>1</v>
      </c>
      <c r="AA15" s="1">
        <f t="shared" si="8"/>
        <v>3</v>
      </c>
      <c r="AB15" s="1">
        <f t="shared" si="9"/>
        <v>2</v>
      </c>
      <c r="AD15" s="1" t="str">
        <f t="shared" si="10"/>
        <v>Good</v>
      </c>
      <c r="AG15" s="1">
        <f t="shared" si="11"/>
        <v>0</v>
      </c>
      <c r="AH15" s="1">
        <f t="shared" si="11"/>
        <v>0</v>
      </c>
      <c r="AI15" s="1">
        <f t="shared" si="4"/>
        <v>0</v>
      </c>
      <c r="AJ15" s="1">
        <f t="shared" si="4"/>
        <v>3</v>
      </c>
      <c r="AK15" s="1">
        <f t="shared" si="4"/>
        <v>0</v>
      </c>
      <c r="AL15" s="1">
        <f t="shared" si="4"/>
        <v>0</v>
      </c>
      <c r="AM15" s="1">
        <f t="shared" si="4"/>
        <v>0</v>
      </c>
      <c r="AN15" s="1">
        <f t="shared" si="4"/>
        <v>2</v>
      </c>
      <c r="AO15" s="1" t="str">
        <f t="shared" si="12"/>
        <v>Good</v>
      </c>
      <c r="AP15" s="1">
        <f t="shared" si="13"/>
        <v>0</v>
      </c>
      <c r="AQ15" s="1">
        <f t="shared" si="5"/>
        <v>0</v>
      </c>
      <c r="AR15" s="1">
        <f t="shared" si="5"/>
        <v>0</v>
      </c>
      <c r="AS15" s="1">
        <f t="shared" si="5"/>
        <v>35.11</v>
      </c>
      <c r="AT15" s="1">
        <f t="shared" si="5"/>
        <v>0</v>
      </c>
      <c r="AU15" s="1">
        <f t="shared" si="5"/>
        <v>0</v>
      </c>
      <c r="AV15" s="1">
        <f t="shared" si="5"/>
        <v>0</v>
      </c>
      <c r="AW15" s="1">
        <f t="shared" si="5"/>
        <v>33.520000000000003</v>
      </c>
      <c r="AX15" s="1"/>
      <c r="AY15" s="1">
        <f t="shared" si="6"/>
        <v>0</v>
      </c>
      <c r="AZ15" s="1">
        <f t="shared" si="6"/>
        <v>0</v>
      </c>
      <c r="BA15" s="1">
        <f t="shared" si="6"/>
        <v>0</v>
      </c>
      <c r="BB15" s="1">
        <f t="shared" si="6"/>
        <v>1.4649999999999999</v>
      </c>
      <c r="BC15" s="1">
        <f t="shared" si="6"/>
        <v>0</v>
      </c>
      <c r="BD15" s="1">
        <f t="shared" si="6"/>
        <v>0</v>
      </c>
      <c r="BE15" s="1">
        <f t="shared" si="6"/>
        <v>0</v>
      </c>
      <c r="BF15" s="1">
        <f t="shared" si="6"/>
        <v>1.395</v>
      </c>
      <c r="BG15" s="1"/>
      <c r="BH15" s="1">
        <f t="shared" si="7"/>
        <v>0</v>
      </c>
      <c r="BI15" s="1">
        <f t="shared" si="7"/>
        <v>0</v>
      </c>
      <c r="BJ15" s="1">
        <f t="shared" si="7"/>
        <v>0</v>
      </c>
      <c r="BK15" s="1">
        <f t="shared" si="7"/>
        <v>32.299999999999997</v>
      </c>
      <c r="BL15" s="1">
        <f t="shared" si="7"/>
        <v>0</v>
      </c>
      <c r="BM15" s="1">
        <f t="shared" si="7"/>
        <v>0</v>
      </c>
      <c r="BN15" s="1">
        <f t="shared" si="7"/>
        <v>0</v>
      </c>
      <c r="BO15" s="1">
        <f t="shared" si="7"/>
        <v>36.1</v>
      </c>
    </row>
    <row r="16" spans="1:68">
      <c r="A16" s="17" t="s">
        <v>49</v>
      </c>
      <c r="B16" s="14" t="s">
        <v>52</v>
      </c>
      <c r="C16">
        <v>32.4</v>
      </c>
      <c r="D16">
        <v>34.159999999999997</v>
      </c>
      <c r="E16">
        <v>0</v>
      </c>
      <c r="F16">
        <v>1</v>
      </c>
      <c r="G16">
        <v>42.94</v>
      </c>
      <c r="H16">
        <v>33.33</v>
      </c>
      <c r="I16">
        <v>1</v>
      </c>
      <c r="J16">
        <v>0</v>
      </c>
      <c r="K16" s="6">
        <f t="shared" si="0"/>
        <v>37.67</v>
      </c>
      <c r="L16" s="6">
        <f t="shared" si="1"/>
        <v>33.744999999999997</v>
      </c>
      <c r="M16">
        <v>1.25</v>
      </c>
      <c r="N16">
        <v>1.41</v>
      </c>
      <c r="O16">
        <v>0</v>
      </c>
      <c r="P16">
        <v>1</v>
      </c>
      <c r="Q16">
        <v>1.45</v>
      </c>
      <c r="R16">
        <v>1</v>
      </c>
      <c r="S16">
        <v>1</v>
      </c>
      <c r="T16">
        <v>0</v>
      </c>
      <c r="U16" s="6">
        <f t="shared" si="2"/>
        <v>1.35</v>
      </c>
      <c r="V16" s="10">
        <f t="shared" si="3"/>
        <v>1.2050000000000001</v>
      </c>
      <c r="W16">
        <v>10.15</v>
      </c>
      <c r="X16">
        <v>10.43</v>
      </c>
      <c r="Y16">
        <v>1</v>
      </c>
      <c r="Z16">
        <v>0</v>
      </c>
      <c r="AA16" s="1">
        <f t="shared" si="8"/>
        <v>3</v>
      </c>
      <c r="AB16" s="1">
        <f t="shared" si="9"/>
        <v>2</v>
      </c>
      <c r="AD16" s="1" t="str">
        <f t="shared" si="10"/>
        <v>Good</v>
      </c>
      <c r="AG16" s="1">
        <f t="shared" si="11"/>
        <v>2</v>
      </c>
      <c r="AH16" s="1">
        <f t="shared" si="11"/>
        <v>0</v>
      </c>
      <c r="AI16" s="1">
        <f t="shared" si="4"/>
        <v>0</v>
      </c>
      <c r="AJ16" s="1">
        <f t="shared" si="4"/>
        <v>0</v>
      </c>
      <c r="AK16" s="1">
        <f t="shared" si="4"/>
        <v>3</v>
      </c>
      <c r="AL16" s="1">
        <f t="shared" si="4"/>
        <v>0</v>
      </c>
      <c r="AM16" s="1">
        <f t="shared" si="4"/>
        <v>0</v>
      </c>
      <c r="AN16" s="1">
        <f t="shared" si="4"/>
        <v>0</v>
      </c>
      <c r="AO16" s="1" t="str">
        <f t="shared" si="12"/>
        <v>Good</v>
      </c>
      <c r="AP16" s="1">
        <f t="shared" si="13"/>
        <v>33.744999999999997</v>
      </c>
      <c r="AQ16" s="1">
        <f t="shared" si="5"/>
        <v>0</v>
      </c>
      <c r="AR16" s="1">
        <f t="shared" si="5"/>
        <v>0</v>
      </c>
      <c r="AS16" s="1">
        <f t="shared" si="5"/>
        <v>0</v>
      </c>
      <c r="AT16" s="1">
        <f t="shared" si="5"/>
        <v>37.67</v>
      </c>
      <c r="AU16" s="1">
        <f t="shared" si="5"/>
        <v>0</v>
      </c>
      <c r="AV16" s="1">
        <f t="shared" si="5"/>
        <v>0</v>
      </c>
      <c r="AW16" s="1">
        <f t="shared" si="5"/>
        <v>0</v>
      </c>
      <c r="AX16" s="1"/>
      <c r="AY16" s="1">
        <f t="shared" si="6"/>
        <v>1.2050000000000001</v>
      </c>
      <c r="AZ16" s="1">
        <f t="shared" si="6"/>
        <v>0</v>
      </c>
      <c r="BA16" s="1">
        <f t="shared" si="6"/>
        <v>0</v>
      </c>
      <c r="BB16" s="1">
        <f t="shared" si="6"/>
        <v>0</v>
      </c>
      <c r="BC16" s="1">
        <f t="shared" si="6"/>
        <v>1.35</v>
      </c>
      <c r="BD16" s="1">
        <f t="shared" si="6"/>
        <v>0</v>
      </c>
      <c r="BE16" s="1">
        <f t="shared" si="6"/>
        <v>0</v>
      </c>
      <c r="BF16" s="1">
        <f t="shared" si="6"/>
        <v>0</v>
      </c>
      <c r="BG16" s="1"/>
      <c r="BH16" s="1">
        <f t="shared" si="7"/>
        <v>10.43</v>
      </c>
      <c r="BI16" s="1">
        <f t="shared" si="7"/>
        <v>0</v>
      </c>
      <c r="BJ16" s="1">
        <f t="shared" si="7"/>
        <v>0</v>
      </c>
      <c r="BK16" s="1">
        <f t="shared" si="7"/>
        <v>0</v>
      </c>
      <c r="BL16" s="1">
        <f t="shared" si="7"/>
        <v>10.15</v>
      </c>
      <c r="BM16" s="1">
        <f t="shared" si="7"/>
        <v>0</v>
      </c>
      <c r="BN16" s="1">
        <f t="shared" si="7"/>
        <v>0</v>
      </c>
      <c r="BO16" s="1">
        <f t="shared" si="7"/>
        <v>0</v>
      </c>
    </row>
    <row r="17" spans="1:67">
      <c r="A17" s="17" t="s">
        <v>48</v>
      </c>
      <c r="B17" s="14" t="s">
        <v>56</v>
      </c>
      <c r="C17">
        <v>15.03</v>
      </c>
      <c r="D17">
        <v>14.68</v>
      </c>
      <c r="E17">
        <v>1</v>
      </c>
      <c r="F17">
        <v>0</v>
      </c>
      <c r="G17">
        <v>27.39</v>
      </c>
      <c r="H17">
        <v>27.8</v>
      </c>
      <c r="I17">
        <v>0</v>
      </c>
      <c r="J17">
        <v>1</v>
      </c>
      <c r="K17" s="6">
        <f t="shared" si="0"/>
        <v>21.21</v>
      </c>
      <c r="L17" s="6">
        <f t="shared" si="1"/>
        <v>21.240000000000002</v>
      </c>
      <c r="M17">
        <v>1.07</v>
      </c>
      <c r="N17">
        <v>1.81</v>
      </c>
      <c r="O17">
        <v>0</v>
      </c>
      <c r="P17">
        <v>1</v>
      </c>
      <c r="Q17">
        <v>0.91</v>
      </c>
      <c r="R17">
        <v>1.17</v>
      </c>
      <c r="S17">
        <v>0</v>
      </c>
      <c r="T17">
        <v>1</v>
      </c>
      <c r="U17" s="6">
        <f t="shared" si="2"/>
        <v>0.99</v>
      </c>
      <c r="V17" s="10">
        <f t="shared" si="3"/>
        <v>1.49</v>
      </c>
      <c r="W17">
        <v>13.87</v>
      </c>
      <c r="X17">
        <v>13.05</v>
      </c>
      <c r="Y17">
        <v>1</v>
      </c>
      <c r="Z17">
        <v>0</v>
      </c>
      <c r="AA17" s="1">
        <f t="shared" si="8"/>
        <v>2</v>
      </c>
      <c r="AB17" s="1">
        <f t="shared" si="9"/>
        <v>3</v>
      </c>
      <c r="AD17" s="1" t="str">
        <f t="shared" si="10"/>
        <v>Good</v>
      </c>
      <c r="AG17" s="1">
        <f t="shared" si="11"/>
        <v>0</v>
      </c>
      <c r="AH17" s="1">
        <f t="shared" si="11"/>
        <v>0</v>
      </c>
      <c r="AI17" s="1">
        <f t="shared" si="4"/>
        <v>3</v>
      </c>
      <c r="AJ17" s="1">
        <f t="shared" si="4"/>
        <v>0</v>
      </c>
      <c r="AK17" s="1">
        <f t="shared" si="4"/>
        <v>0</v>
      </c>
      <c r="AL17" s="1">
        <f t="shared" si="4"/>
        <v>2</v>
      </c>
      <c r="AM17" s="1">
        <f t="shared" si="4"/>
        <v>0</v>
      </c>
      <c r="AN17" s="1">
        <f t="shared" si="4"/>
        <v>0</v>
      </c>
      <c r="AO17" s="1" t="str">
        <f t="shared" si="12"/>
        <v>Good</v>
      </c>
      <c r="AP17" s="1">
        <f t="shared" si="13"/>
        <v>0</v>
      </c>
      <c r="AQ17" s="1">
        <f t="shared" si="5"/>
        <v>0</v>
      </c>
      <c r="AR17" s="1">
        <f t="shared" si="5"/>
        <v>21.240000000000002</v>
      </c>
      <c r="AS17" s="1">
        <f t="shared" si="5"/>
        <v>0</v>
      </c>
      <c r="AT17" s="1">
        <f t="shared" si="5"/>
        <v>0</v>
      </c>
      <c r="AU17" s="1">
        <f t="shared" si="5"/>
        <v>21.21</v>
      </c>
      <c r="AV17" s="1">
        <f t="shared" si="5"/>
        <v>0</v>
      </c>
      <c r="AW17" s="1">
        <f t="shared" si="5"/>
        <v>0</v>
      </c>
      <c r="AX17" s="1"/>
      <c r="AY17" s="1">
        <f t="shared" si="6"/>
        <v>0</v>
      </c>
      <c r="AZ17" s="1">
        <f t="shared" si="6"/>
        <v>0</v>
      </c>
      <c r="BA17" s="1">
        <f t="shared" si="6"/>
        <v>1.49</v>
      </c>
      <c r="BB17" s="1">
        <f t="shared" si="6"/>
        <v>0</v>
      </c>
      <c r="BC17" s="1">
        <f t="shared" si="6"/>
        <v>0</v>
      </c>
      <c r="BD17" s="1">
        <f t="shared" si="6"/>
        <v>0.99</v>
      </c>
      <c r="BE17" s="1">
        <f t="shared" si="6"/>
        <v>0</v>
      </c>
      <c r="BF17" s="1">
        <f t="shared" si="6"/>
        <v>0</v>
      </c>
      <c r="BG17" s="1"/>
      <c r="BH17" s="1">
        <f t="shared" si="7"/>
        <v>0</v>
      </c>
      <c r="BI17" s="1">
        <f t="shared" si="7"/>
        <v>0</v>
      </c>
      <c r="BJ17" s="1">
        <f t="shared" si="7"/>
        <v>13.05</v>
      </c>
      <c r="BK17" s="1">
        <f t="shared" si="7"/>
        <v>0</v>
      </c>
      <c r="BL17" s="1">
        <f t="shared" si="7"/>
        <v>0</v>
      </c>
      <c r="BM17" s="1">
        <f t="shared" si="7"/>
        <v>13.87</v>
      </c>
      <c r="BN17" s="1">
        <f t="shared" si="7"/>
        <v>0</v>
      </c>
      <c r="BO17" s="1">
        <f t="shared" si="7"/>
        <v>0</v>
      </c>
    </row>
    <row r="18" spans="1:67">
      <c r="A18" s="18" t="s">
        <v>51</v>
      </c>
      <c r="B18" s="19" t="s">
        <v>46</v>
      </c>
      <c r="C18" s="3">
        <v>30.16</v>
      </c>
      <c r="D18" s="3">
        <v>30.16</v>
      </c>
      <c r="E18" s="3">
        <v>0</v>
      </c>
      <c r="F18" s="3">
        <v>1</v>
      </c>
      <c r="G18" s="3">
        <v>25.42</v>
      </c>
      <c r="H18" s="3">
        <v>26.25</v>
      </c>
      <c r="I18" s="3">
        <v>1</v>
      </c>
      <c r="J18" s="3">
        <v>0</v>
      </c>
      <c r="K18" s="11">
        <f t="shared" si="0"/>
        <v>27.79</v>
      </c>
      <c r="L18" s="11">
        <f t="shared" si="1"/>
        <v>28.204999999999998</v>
      </c>
      <c r="M18" s="3">
        <v>1.93</v>
      </c>
      <c r="N18" s="3">
        <v>1.29</v>
      </c>
      <c r="O18" s="3">
        <v>1</v>
      </c>
      <c r="P18" s="3">
        <v>0</v>
      </c>
      <c r="Q18" s="3">
        <v>1</v>
      </c>
      <c r="R18" s="3">
        <v>1.1599999999999999</v>
      </c>
      <c r="S18" s="3">
        <v>0</v>
      </c>
      <c r="T18" s="3">
        <v>1</v>
      </c>
      <c r="U18" s="11">
        <f t="shared" si="2"/>
        <v>1.4649999999999999</v>
      </c>
      <c r="V18" s="12">
        <f t="shared" si="3"/>
        <v>1.2250000000000001</v>
      </c>
      <c r="W18">
        <v>33.619999999999997</v>
      </c>
      <c r="X18">
        <v>36.119999999999997</v>
      </c>
      <c r="Y18">
        <v>0</v>
      </c>
      <c r="Z18">
        <v>1</v>
      </c>
      <c r="AA18" s="1">
        <f t="shared" si="8"/>
        <v>2</v>
      </c>
      <c r="AB18" s="1">
        <f t="shared" si="9"/>
        <v>3</v>
      </c>
      <c r="AD18" s="1" t="str">
        <f t="shared" si="10"/>
        <v>Good</v>
      </c>
      <c r="AG18" s="1">
        <f t="shared" si="11"/>
        <v>0</v>
      </c>
      <c r="AH18" s="1">
        <f t="shared" si="11"/>
        <v>2</v>
      </c>
      <c r="AI18" s="1">
        <f t="shared" si="4"/>
        <v>0</v>
      </c>
      <c r="AJ18" s="1">
        <f t="shared" si="4"/>
        <v>0</v>
      </c>
      <c r="AK18" s="1">
        <f t="shared" si="4"/>
        <v>0</v>
      </c>
      <c r="AL18" s="1">
        <f t="shared" si="4"/>
        <v>0</v>
      </c>
      <c r="AM18" s="1">
        <f t="shared" si="4"/>
        <v>3</v>
      </c>
      <c r="AN18" s="1">
        <f t="shared" si="4"/>
        <v>0</v>
      </c>
      <c r="AO18" s="1" t="str">
        <f t="shared" si="12"/>
        <v>Good</v>
      </c>
      <c r="AP18" s="1">
        <f t="shared" si="13"/>
        <v>0</v>
      </c>
      <c r="AQ18" s="1">
        <f t="shared" si="5"/>
        <v>27.79</v>
      </c>
      <c r="AR18" s="1">
        <f t="shared" si="5"/>
        <v>0</v>
      </c>
      <c r="AS18" s="1">
        <f t="shared" si="5"/>
        <v>0</v>
      </c>
      <c r="AT18" s="1">
        <f t="shared" si="5"/>
        <v>0</v>
      </c>
      <c r="AU18" s="1">
        <f t="shared" si="5"/>
        <v>0</v>
      </c>
      <c r="AV18" s="1">
        <f t="shared" si="5"/>
        <v>28.204999999999998</v>
      </c>
      <c r="AW18" s="1">
        <f t="shared" si="5"/>
        <v>0</v>
      </c>
      <c r="AX18" s="1"/>
      <c r="AY18" s="1">
        <f t="shared" si="6"/>
        <v>0</v>
      </c>
      <c r="AZ18" s="1">
        <f t="shared" si="6"/>
        <v>1.4649999999999999</v>
      </c>
      <c r="BA18" s="1">
        <f t="shared" si="6"/>
        <v>0</v>
      </c>
      <c r="BB18" s="1">
        <f t="shared" si="6"/>
        <v>0</v>
      </c>
      <c r="BC18" s="1">
        <f t="shared" si="6"/>
        <v>0</v>
      </c>
      <c r="BD18" s="1">
        <f t="shared" si="6"/>
        <v>0</v>
      </c>
      <c r="BE18" s="1">
        <f t="shared" si="6"/>
        <v>1.2250000000000001</v>
      </c>
      <c r="BF18" s="1">
        <f t="shared" si="6"/>
        <v>0</v>
      </c>
      <c r="BG18" s="1"/>
      <c r="BH18" s="1">
        <f t="shared" si="7"/>
        <v>0</v>
      </c>
      <c r="BI18" s="1">
        <f t="shared" si="7"/>
        <v>33.619999999999997</v>
      </c>
      <c r="BJ18" s="1">
        <f t="shared" si="7"/>
        <v>0</v>
      </c>
      <c r="BK18" s="1">
        <f t="shared" si="7"/>
        <v>0</v>
      </c>
      <c r="BL18" s="1">
        <f t="shared" si="7"/>
        <v>0</v>
      </c>
      <c r="BM18" s="1">
        <f t="shared" si="7"/>
        <v>0</v>
      </c>
      <c r="BN18" s="1">
        <f t="shared" si="7"/>
        <v>36.119999999999997</v>
      </c>
      <c r="BO18" s="1">
        <f t="shared" si="7"/>
        <v>0</v>
      </c>
    </row>
    <row r="19" spans="1:67">
      <c r="A19" s="15" t="s">
        <v>51</v>
      </c>
      <c r="B19" s="16" t="s">
        <v>49</v>
      </c>
      <c r="C19" s="7">
        <v>53.68</v>
      </c>
      <c r="D19" s="7">
        <v>29.3</v>
      </c>
      <c r="E19" s="7">
        <v>1</v>
      </c>
      <c r="F19" s="7">
        <v>0</v>
      </c>
      <c r="G19" s="7">
        <v>32.869999999999997</v>
      </c>
      <c r="H19" s="7">
        <v>33.4</v>
      </c>
      <c r="I19" s="7">
        <v>0</v>
      </c>
      <c r="J19" s="7">
        <v>1</v>
      </c>
      <c r="K19" s="8">
        <f t="shared" si="0"/>
        <v>43.274999999999999</v>
      </c>
      <c r="L19" s="8">
        <f t="shared" si="1"/>
        <v>31.35</v>
      </c>
      <c r="M19" s="7">
        <v>1.04</v>
      </c>
      <c r="N19" s="7">
        <v>1.01</v>
      </c>
      <c r="O19" s="7">
        <v>1</v>
      </c>
      <c r="P19" s="7">
        <v>0</v>
      </c>
      <c r="Q19" s="7">
        <v>0.96</v>
      </c>
      <c r="R19" s="7">
        <v>1.17</v>
      </c>
      <c r="S19" s="7">
        <v>0</v>
      </c>
      <c r="T19" s="7">
        <v>1</v>
      </c>
      <c r="U19" s="8">
        <f t="shared" si="2"/>
        <v>1</v>
      </c>
      <c r="V19" s="9">
        <f t="shared" si="3"/>
        <v>1.0899999999999999</v>
      </c>
      <c r="W19">
        <v>34.729999999999997</v>
      </c>
      <c r="X19">
        <v>29</v>
      </c>
      <c r="Y19">
        <v>1</v>
      </c>
      <c r="Z19">
        <v>0</v>
      </c>
      <c r="AA19" s="1">
        <f t="shared" si="8"/>
        <v>3</v>
      </c>
      <c r="AB19" s="1">
        <f t="shared" si="9"/>
        <v>2</v>
      </c>
      <c r="AD19" s="1" t="str">
        <f t="shared" si="10"/>
        <v>Good</v>
      </c>
      <c r="AG19" s="1">
        <f t="shared" si="11"/>
        <v>0</v>
      </c>
      <c r="AH19" s="1">
        <f t="shared" si="11"/>
        <v>3</v>
      </c>
      <c r="AI19" s="1">
        <f t="shared" si="4"/>
        <v>0</v>
      </c>
      <c r="AJ19" s="1">
        <f t="shared" si="4"/>
        <v>0</v>
      </c>
      <c r="AK19" s="1">
        <f t="shared" si="4"/>
        <v>2</v>
      </c>
      <c r="AL19" s="1">
        <f t="shared" si="4"/>
        <v>0</v>
      </c>
      <c r="AM19" s="1">
        <f t="shared" si="4"/>
        <v>0</v>
      </c>
      <c r="AN19" s="1">
        <f t="shared" si="4"/>
        <v>0</v>
      </c>
      <c r="AO19" s="1" t="str">
        <f t="shared" si="12"/>
        <v>Good</v>
      </c>
      <c r="AP19" s="1">
        <f t="shared" si="13"/>
        <v>0</v>
      </c>
      <c r="AQ19" s="1">
        <f t="shared" si="5"/>
        <v>43.274999999999999</v>
      </c>
      <c r="AR19" s="1">
        <f t="shared" si="5"/>
        <v>0</v>
      </c>
      <c r="AS19" s="1">
        <f t="shared" si="5"/>
        <v>0</v>
      </c>
      <c r="AT19" s="1">
        <f t="shared" si="5"/>
        <v>31.35</v>
      </c>
      <c r="AU19" s="1">
        <f t="shared" si="5"/>
        <v>0</v>
      </c>
      <c r="AV19" s="1">
        <f t="shared" si="5"/>
        <v>0</v>
      </c>
      <c r="AW19" s="1">
        <f t="shared" si="5"/>
        <v>0</v>
      </c>
      <c r="AX19" s="1"/>
      <c r="AY19" s="1">
        <f t="shared" si="6"/>
        <v>0</v>
      </c>
      <c r="AZ19" s="1">
        <f t="shared" si="6"/>
        <v>1</v>
      </c>
      <c r="BA19" s="1">
        <f t="shared" si="6"/>
        <v>0</v>
      </c>
      <c r="BB19" s="1">
        <f t="shared" si="6"/>
        <v>0</v>
      </c>
      <c r="BC19" s="1">
        <f t="shared" si="6"/>
        <v>1.0899999999999999</v>
      </c>
      <c r="BD19" s="1">
        <f t="shared" si="6"/>
        <v>0</v>
      </c>
      <c r="BE19" s="1">
        <f t="shared" si="6"/>
        <v>0</v>
      </c>
      <c r="BF19" s="1">
        <f t="shared" si="6"/>
        <v>0</v>
      </c>
      <c r="BG19" s="1"/>
      <c r="BH19" s="1">
        <f t="shared" si="7"/>
        <v>0</v>
      </c>
      <c r="BI19" s="1">
        <f t="shared" si="7"/>
        <v>34.729999999999997</v>
      </c>
      <c r="BJ19" s="1">
        <f t="shared" si="7"/>
        <v>0</v>
      </c>
      <c r="BK19" s="1">
        <f t="shared" si="7"/>
        <v>0</v>
      </c>
      <c r="BL19" s="1">
        <f t="shared" si="7"/>
        <v>29</v>
      </c>
      <c r="BM19" s="1">
        <f t="shared" si="7"/>
        <v>0</v>
      </c>
      <c r="BN19" s="1">
        <f t="shared" si="7"/>
        <v>0</v>
      </c>
      <c r="BO19" s="1">
        <f t="shared" si="7"/>
        <v>0</v>
      </c>
    </row>
    <row r="20" spans="1:67">
      <c r="A20" s="17" t="s">
        <v>44</v>
      </c>
      <c r="B20" s="14" t="s">
        <v>56</v>
      </c>
      <c r="C20">
        <v>41.75</v>
      </c>
      <c r="D20">
        <v>41.58</v>
      </c>
      <c r="E20">
        <v>1</v>
      </c>
      <c r="F20">
        <v>0</v>
      </c>
      <c r="G20">
        <v>41.75</v>
      </c>
      <c r="H20">
        <v>38.270000000000003</v>
      </c>
      <c r="I20">
        <v>1</v>
      </c>
      <c r="J20">
        <v>0</v>
      </c>
      <c r="K20" s="6">
        <f t="shared" si="0"/>
        <v>41.75</v>
      </c>
      <c r="L20" s="6">
        <f t="shared" si="1"/>
        <v>39.924999999999997</v>
      </c>
      <c r="M20">
        <v>1.38</v>
      </c>
      <c r="N20">
        <v>1.27</v>
      </c>
      <c r="O20">
        <v>1</v>
      </c>
      <c r="P20">
        <v>0</v>
      </c>
      <c r="Q20">
        <v>1.1599999999999999</v>
      </c>
      <c r="R20">
        <v>1.4</v>
      </c>
      <c r="S20">
        <v>0</v>
      </c>
      <c r="T20">
        <v>1</v>
      </c>
      <c r="U20" s="6">
        <f t="shared" si="2"/>
        <v>1.27</v>
      </c>
      <c r="V20" s="10">
        <f t="shared" si="3"/>
        <v>1.335</v>
      </c>
      <c r="W20">
        <v>9.25</v>
      </c>
      <c r="X20">
        <v>41.05</v>
      </c>
      <c r="Y20">
        <v>0</v>
      </c>
      <c r="Z20">
        <v>1</v>
      </c>
      <c r="AA20" s="1">
        <f t="shared" si="8"/>
        <v>3</v>
      </c>
      <c r="AB20" s="1">
        <f t="shared" si="9"/>
        <v>2</v>
      </c>
      <c r="AD20" s="1" t="str">
        <f t="shared" si="10"/>
        <v>Good</v>
      </c>
      <c r="AG20" s="1">
        <f t="shared" si="11"/>
        <v>0</v>
      </c>
      <c r="AH20" s="1">
        <f t="shared" si="11"/>
        <v>0</v>
      </c>
      <c r="AI20" s="1">
        <f t="shared" si="4"/>
        <v>2</v>
      </c>
      <c r="AJ20" s="1">
        <f t="shared" si="4"/>
        <v>0</v>
      </c>
      <c r="AK20" s="1">
        <f t="shared" si="4"/>
        <v>0</v>
      </c>
      <c r="AL20" s="1">
        <f t="shared" si="4"/>
        <v>0</v>
      </c>
      <c r="AM20" s="1">
        <f t="shared" si="4"/>
        <v>0</v>
      </c>
      <c r="AN20" s="1">
        <f t="shared" si="4"/>
        <v>3</v>
      </c>
      <c r="AO20" s="1" t="str">
        <f t="shared" si="12"/>
        <v>Good</v>
      </c>
      <c r="AP20" s="1">
        <f t="shared" si="13"/>
        <v>0</v>
      </c>
      <c r="AQ20" s="1">
        <f t="shared" si="5"/>
        <v>0</v>
      </c>
      <c r="AR20" s="1">
        <f t="shared" si="5"/>
        <v>39.924999999999997</v>
      </c>
      <c r="AS20" s="1">
        <f t="shared" si="5"/>
        <v>0</v>
      </c>
      <c r="AT20" s="1">
        <f t="shared" si="5"/>
        <v>0</v>
      </c>
      <c r="AU20" s="1">
        <f t="shared" si="5"/>
        <v>0</v>
      </c>
      <c r="AV20" s="1">
        <f t="shared" si="5"/>
        <v>0</v>
      </c>
      <c r="AW20" s="1">
        <f t="shared" si="5"/>
        <v>41.75</v>
      </c>
      <c r="AX20" s="1"/>
      <c r="AY20" s="1">
        <f t="shared" ref="AY20:BF30" si="14">IFERROR(VLOOKUP(AY$2,$A20:$AA20,21,FALSE),0)+IFERROR(VLOOKUP(AY$2,$B20:$AB20,21,FALSE),0)</f>
        <v>0</v>
      </c>
      <c r="AZ20" s="1">
        <f t="shared" si="14"/>
        <v>0</v>
      </c>
      <c r="BA20" s="1">
        <f t="shared" si="14"/>
        <v>1.335</v>
      </c>
      <c r="BB20" s="1">
        <f t="shared" si="14"/>
        <v>0</v>
      </c>
      <c r="BC20" s="1">
        <f t="shared" si="14"/>
        <v>0</v>
      </c>
      <c r="BD20" s="1">
        <f t="shared" si="14"/>
        <v>0</v>
      </c>
      <c r="BE20" s="1">
        <f t="shared" si="14"/>
        <v>0</v>
      </c>
      <c r="BF20" s="1">
        <f t="shared" si="14"/>
        <v>1.27</v>
      </c>
      <c r="BG20" s="1"/>
      <c r="BH20" s="1">
        <f t="shared" ref="BH20:BO30" si="15">IFERROR(VLOOKUP(BH$2,$A20:$AA20,23,FALSE),0)+IFERROR(VLOOKUP(BH$2,$B20:$AB20,23,FALSE),0)</f>
        <v>0</v>
      </c>
      <c r="BI20" s="1">
        <f t="shared" si="15"/>
        <v>0</v>
      </c>
      <c r="BJ20" s="1">
        <f t="shared" si="15"/>
        <v>41.05</v>
      </c>
      <c r="BK20" s="1">
        <f t="shared" si="15"/>
        <v>0</v>
      </c>
      <c r="BL20" s="1">
        <f t="shared" si="15"/>
        <v>0</v>
      </c>
      <c r="BM20" s="1">
        <f t="shared" si="15"/>
        <v>0</v>
      </c>
      <c r="BN20" s="1">
        <f t="shared" si="15"/>
        <v>0</v>
      </c>
      <c r="BO20" s="1">
        <f t="shared" si="15"/>
        <v>9.25</v>
      </c>
    </row>
    <row r="21" spans="1:67">
      <c r="A21" s="17" t="s">
        <v>52</v>
      </c>
      <c r="B21" s="14" t="s">
        <v>46</v>
      </c>
      <c r="C21">
        <v>20.71</v>
      </c>
      <c r="D21">
        <v>21.17</v>
      </c>
      <c r="E21">
        <v>1</v>
      </c>
      <c r="F21">
        <v>0</v>
      </c>
      <c r="G21">
        <v>29.94</v>
      </c>
      <c r="H21">
        <v>27.47</v>
      </c>
      <c r="I21">
        <v>0</v>
      </c>
      <c r="J21">
        <v>1</v>
      </c>
      <c r="K21" s="6">
        <f t="shared" si="0"/>
        <v>25.325000000000003</v>
      </c>
      <c r="L21" s="6">
        <f t="shared" si="1"/>
        <v>24.32</v>
      </c>
      <c r="M21">
        <v>0.76</v>
      </c>
      <c r="N21">
        <v>0.84</v>
      </c>
      <c r="O21">
        <v>0</v>
      </c>
      <c r="P21">
        <v>1</v>
      </c>
      <c r="Q21">
        <v>1.21</v>
      </c>
      <c r="R21">
        <v>1.73</v>
      </c>
      <c r="S21">
        <v>0</v>
      </c>
      <c r="T21">
        <v>1</v>
      </c>
      <c r="U21" s="6">
        <f t="shared" si="2"/>
        <v>0.98499999999999999</v>
      </c>
      <c r="V21" s="10">
        <f t="shared" si="3"/>
        <v>1.2849999999999999</v>
      </c>
      <c r="W21">
        <v>6.83</v>
      </c>
      <c r="X21">
        <v>23.15</v>
      </c>
      <c r="Y21">
        <v>0</v>
      </c>
      <c r="Z21">
        <v>1</v>
      </c>
      <c r="AA21" s="1">
        <f t="shared" si="8"/>
        <v>1</v>
      </c>
      <c r="AB21" s="1">
        <f t="shared" si="9"/>
        <v>4</v>
      </c>
      <c r="AD21" s="1" t="str">
        <f t="shared" si="10"/>
        <v>Good</v>
      </c>
      <c r="AG21" s="1">
        <f t="shared" si="11"/>
        <v>1</v>
      </c>
      <c r="AH21" s="1">
        <f t="shared" si="11"/>
        <v>0</v>
      </c>
      <c r="AI21" s="1">
        <f t="shared" si="4"/>
        <v>0</v>
      </c>
      <c r="AJ21" s="1">
        <f t="shared" si="4"/>
        <v>0</v>
      </c>
      <c r="AK21" s="1">
        <f t="shared" si="4"/>
        <v>0</v>
      </c>
      <c r="AL21" s="1">
        <f t="shared" si="4"/>
        <v>0</v>
      </c>
      <c r="AM21" s="1">
        <f t="shared" si="4"/>
        <v>4</v>
      </c>
      <c r="AN21" s="1">
        <f t="shared" si="4"/>
        <v>0</v>
      </c>
      <c r="AO21" s="1" t="str">
        <f t="shared" si="12"/>
        <v>Good</v>
      </c>
      <c r="AP21" s="1">
        <f t="shared" si="13"/>
        <v>25.325000000000003</v>
      </c>
      <c r="AQ21" s="1">
        <f t="shared" si="5"/>
        <v>0</v>
      </c>
      <c r="AR21" s="1">
        <f t="shared" si="5"/>
        <v>0</v>
      </c>
      <c r="AS21" s="1">
        <f t="shared" si="5"/>
        <v>0</v>
      </c>
      <c r="AT21" s="1">
        <f t="shared" si="5"/>
        <v>0</v>
      </c>
      <c r="AU21" s="1">
        <f t="shared" si="5"/>
        <v>0</v>
      </c>
      <c r="AV21" s="1">
        <f t="shared" si="5"/>
        <v>24.32</v>
      </c>
      <c r="AW21" s="1">
        <f t="shared" si="5"/>
        <v>0</v>
      </c>
      <c r="AX21" s="1"/>
      <c r="AY21" s="1">
        <f t="shared" si="14"/>
        <v>0.98499999999999999</v>
      </c>
      <c r="AZ21" s="1">
        <f t="shared" si="14"/>
        <v>0</v>
      </c>
      <c r="BA21" s="1">
        <f t="shared" si="14"/>
        <v>0</v>
      </c>
      <c r="BB21" s="1">
        <f t="shared" si="14"/>
        <v>0</v>
      </c>
      <c r="BC21" s="1">
        <f t="shared" si="14"/>
        <v>0</v>
      </c>
      <c r="BD21" s="1">
        <f t="shared" si="14"/>
        <v>0</v>
      </c>
      <c r="BE21" s="1">
        <f t="shared" si="14"/>
        <v>1.2849999999999999</v>
      </c>
      <c r="BF21" s="1">
        <f t="shared" si="14"/>
        <v>0</v>
      </c>
      <c r="BG21" s="1"/>
      <c r="BH21" s="1">
        <f t="shared" si="15"/>
        <v>6.83</v>
      </c>
      <c r="BI21" s="1">
        <f t="shared" si="15"/>
        <v>0</v>
      </c>
      <c r="BJ21" s="1">
        <f t="shared" si="15"/>
        <v>0</v>
      </c>
      <c r="BK21" s="1">
        <f t="shared" si="15"/>
        <v>0</v>
      </c>
      <c r="BL21" s="1">
        <f t="shared" si="15"/>
        <v>0</v>
      </c>
      <c r="BM21" s="1">
        <f t="shared" si="15"/>
        <v>0</v>
      </c>
      <c r="BN21" s="1">
        <f t="shared" si="15"/>
        <v>23.15</v>
      </c>
      <c r="BO21" s="1">
        <f t="shared" si="15"/>
        <v>0</v>
      </c>
    </row>
    <row r="22" spans="1:67">
      <c r="A22" s="18" t="s">
        <v>48</v>
      </c>
      <c r="B22" s="19" t="s">
        <v>54</v>
      </c>
      <c r="C22" s="3">
        <v>39.6</v>
      </c>
      <c r="D22" s="3">
        <v>37.4</v>
      </c>
      <c r="E22" s="3">
        <v>1</v>
      </c>
      <c r="F22" s="3">
        <v>0</v>
      </c>
      <c r="G22" s="3">
        <v>24.45</v>
      </c>
      <c r="H22" s="3">
        <v>26.37</v>
      </c>
      <c r="I22" s="3">
        <v>0</v>
      </c>
      <c r="J22" s="3">
        <v>1</v>
      </c>
      <c r="K22" s="11">
        <f t="shared" si="0"/>
        <v>32.024999999999999</v>
      </c>
      <c r="L22" s="11">
        <f t="shared" si="1"/>
        <v>31.884999999999998</v>
      </c>
      <c r="M22" s="3">
        <v>1.1399999999999999</v>
      </c>
      <c r="N22" s="3">
        <v>1.1100000000000001</v>
      </c>
      <c r="O22" s="3">
        <v>1</v>
      </c>
      <c r="P22" s="3">
        <v>0</v>
      </c>
      <c r="Q22" s="3">
        <v>1.67</v>
      </c>
      <c r="R22" s="3">
        <v>2.2999999999999998</v>
      </c>
      <c r="S22" s="3">
        <v>0</v>
      </c>
      <c r="T22" s="3">
        <v>1</v>
      </c>
      <c r="U22" s="11">
        <f t="shared" si="2"/>
        <v>1.4049999999999998</v>
      </c>
      <c r="V22" s="12">
        <f t="shared" si="3"/>
        <v>1.7050000000000001</v>
      </c>
      <c r="W22">
        <v>28.22</v>
      </c>
      <c r="X22">
        <v>26.64</v>
      </c>
      <c r="Y22">
        <v>1</v>
      </c>
      <c r="Z22">
        <v>0</v>
      </c>
      <c r="AA22" s="1">
        <f t="shared" si="8"/>
        <v>3</v>
      </c>
      <c r="AB22" s="1">
        <f t="shared" si="9"/>
        <v>2</v>
      </c>
      <c r="AD22" s="1" t="str">
        <f t="shared" si="10"/>
        <v>Good</v>
      </c>
      <c r="AG22" s="1">
        <f t="shared" si="11"/>
        <v>0</v>
      </c>
      <c r="AH22" s="1">
        <f t="shared" si="11"/>
        <v>0</v>
      </c>
      <c r="AI22" s="1">
        <f t="shared" si="4"/>
        <v>0</v>
      </c>
      <c r="AJ22" s="1">
        <f t="shared" si="4"/>
        <v>2</v>
      </c>
      <c r="AK22" s="1">
        <f t="shared" si="4"/>
        <v>0</v>
      </c>
      <c r="AL22" s="1">
        <f t="shared" si="4"/>
        <v>3</v>
      </c>
      <c r="AM22" s="1">
        <f t="shared" si="4"/>
        <v>0</v>
      </c>
      <c r="AN22" s="1">
        <f t="shared" si="4"/>
        <v>0</v>
      </c>
      <c r="AO22" s="1" t="str">
        <f t="shared" si="12"/>
        <v>Good</v>
      </c>
      <c r="AP22" s="1">
        <f t="shared" si="13"/>
        <v>0</v>
      </c>
      <c r="AQ22" s="1">
        <f t="shared" si="5"/>
        <v>0</v>
      </c>
      <c r="AR22" s="1">
        <f t="shared" si="5"/>
        <v>0</v>
      </c>
      <c r="AS22" s="1">
        <f t="shared" ref="AQ22:AW30" si="16">IFERROR(VLOOKUP(AS$2,$A22:$AA22,11,FALSE),0)+IFERROR(VLOOKUP(AS$2,$B22:$AB22,11,FALSE),0)</f>
        <v>31.884999999999998</v>
      </c>
      <c r="AT22" s="1">
        <f t="shared" si="16"/>
        <v>0</v>
      </c>
      <c r="AU22" s="1">
        <f t="shared" si="16"/>
        <v>32.024999999999999</v>
      </c>
      <c r="AV22" s="1">
        <f t="shared" si="16"/>
        <v>0</v>
      </c>
      <c r="AW22" s="1">
        <f t="shared" si="16"/>
        <v>0</v>
      </c>
      <c r="AX22" s="1"/>
      <c r="AY22" s="1">
        <f t="shared" si="14"/>
        <v>0</v>
      </c>
      <c r="AZ22" s="1">
        <f t="shared" si="14"/>
        <v>0</v>
      </c>
      <c r="BA22" s="1">
        <f t="shared" si="14"/>
        <v>0</v>
      </c>
      <c r="BB22" s="1">
        <f t="shared" si="14"/>
        <v>1.7050000000000001</v>
      </c>
      <c r="BC22" s="1">
        <f t="shared" si="14"/>
        <v>0</v>
      </c>
      <c r="BD22" s="1">
        <f t="shared" si="14"/>
        <v>1.4049999999999998</v>
      </c>
      <c r="BE22" s="1">
        <f t="shared" si="14"/>
        <v>0</v>
      </c>
      <c r="BF22" s="1">
        <f t="shared" si="14"/>
        <v>0</v>
      </c>
      <c r="BG22" s="1"/>
      <c r="BH22" s="1">
        <f t="shared" si="15"/>
        <v>0</v>
      </c>
      <c r="BI22" s="1">
        <f t="shared" si="15"/>
        <v>0</v>
      </c>
      <c r="BJ22" s="1">
        <f t="shared" si="15"/>
        <v>0</v>
      </c>
      <c r="BK22" s="1">
        <f t="shared" si="15"/>
        <v>26.64</v>
      </c>
      <c r="BL22" s="1">
        <f t="shared" si="15"/>
        <v>0</v>
      </c>
      <c r="BM22" s="1">
        <f t="shared" si="15"/>
        <v>28.22</v>
      </c>
      <c r="BN22" s="1">
        <f t="shared" si="15"/>
        <v>0</v>
      </c>
      <c r="BO22" s="1">
        <f t="shared" si="15"/>
        <v>0</v>
      </c>
    </row>
    <row r="23" spans="1:67">
      <c r="A23" s="15" t="s">
        <v>46</v>
      </c>
      <c r="B23" s="16" t="s">
        <v>48</v>
      </c>
      <c r="C23" s="7">
        <v>27.7</v>
      </c>
      <c r="D23" s="7">
        <v>27.3</v>
      </c>
      <c r="E23" s="7">
        <v>0</v>
      </c>
      <c r="F23" s="7">
        <v>1</v>
      </c>
      <c r="G23" s="7">
        <v>33.4</v>
      </c>
      <c r="H23" s="7">
        <v>34.64</v>
      </c>
      <c r="I23" s="7">
        <v>1</v>
      </c>
      <c r="J23" s="7">
        <v>0</v>
      </c>
      <c r="K23" s="8">
        <f t="shared" si="0"/>
        <v>30.549999999999997</v>
      </c>
      <c r="L23" s="8">
        <f t="shared" si="1"/>
        <v>30.97</v>
      </c>
      <c r="M23" s="7">
        <v>1.5</v>
      </c>
      <c r="N23" s="7">
        <v>1.71</v>
      </c>
      <c r="O23" s="7">
        <v>0</v>
      </c>
      <c r="P23" s="7">
        <v>1</v>
      </c>
      <c r="Q23" s="7">
        <v>1.1499999999999999</v>
      </c>
      <c r="R23" s="7">
        <v>1.08</v>
      </c>
      <c r="S23" s="7">
        <v>1</v>
      </c>
      <c r="T23" s="7">
        <v>0</v>
      </c>
      <c r="U23" s="8">
        <f t="shared" si="2"/>
        <v>1.325</v>
      </c>
      <c r="V23" s="9">
        <f t="shared" si="3"/>
        <v>1.395</v>
      </c>
      <c r="W23">
        <v>20.52</v>
      </c>
      <c r="X23">
        <v>19.670000000000002</v>
      </c>
      <c r="Y23">
        <v>1</v>
      </c>
      <c r="Z23">
        <v>0</v>
      </c>
      <c r="AA23" s="1">
        <f t="shared" si="8"/>
        <v>3</v>
      </c>
      <c r="AB23" s="1">
        <f t="shared" si="9"/>
        <v>2</v>
      </c>
      <c r="AD23" s="1" t="str">
        <f t="shared" si="10"/>
        <v>Good</v>
      </c>
      <c r="AG23" s="1">
        <f t="shared" si="11"/>
        <v>0</v>
      </c>
      <c r="AH23" s="1">
        <f t="shared" si="11"/>
        <v>0</v>
      </c>
      <c r="AI23" s="1">
        <f t="shared" si="4"/>
        <v>0</v>
      </c>
      <c r="AJ23" s="1">
        <f t="shared" si="4"/>
        <v>0</v>
      </c>
      <c r="AK23" s="1">
        <f t="shared" si="4"/>
        <v>0</v>
      </c>
      <c r="AL23" s="1">
        <f t="shared" si="4"/>
        <v>2</v>
      </c>
      <c r="AM23" s="1">
        <f t="shared" si="4"/>
        <v>3</v>
      </c>
      <c r="AN23" s="1">
        <f t="shared" si="4"/>
        <v>0</v>
      </c>
      <c r="AO23" s="1" t="str">
        <f t="shared" si="12"/>
        <v>Good</v>
      </c>
      <c r="AP23" s="1">
        <f t="shared" si="13"/>
        <v>0</v>
      </c>
      <c r="AQ23" s="1">
        <f t="shared" si="16"/>
        <v>0</v>
      </c>
      <c r="AR23" s="1">
        <f t="shared" si="16"/>
        <v>0</v>
      </c>
      <c r="AS23" s="1">
        <f t="shared" si="16"/>
        <v>0</v>
      </c>
      <c r="AT23" s="1">
        <f t="shared" si="16"/>
        <v>0</v>
      </c>
      <c r="AU23" s="1">
        <f t="shared" si="16"/>
        <v>30.97</v>
      </c>
      <c r="AV23" s="1">
        <f t="shared" si="16"/>
        <v>30.549999999999997</v>
      </c>
      <c r="AW23" s="1">
        <f t="shared" si="16"/>
        <v>0</v>
      </c>
      <c r="AX23" s="1"/>
      <c r="AY23" s="1">
        <f t="shared" si="14"/>
        <v>0</v>
      </c>
      <c r="AZ23" s="1">
        <f t="shared" si="14"/>
        <v>0</v>
      </c>
      <c r="BA23" s="1">
        <f t="shared" si="14"/>
        <v>0</v>
      </c>
      <c r="BB23" s="1">
        <f t="shared" si="14"/>
        <v>0</v>
      </c>
      <c r="BC23" s="1">
        <f t="shared" si="14"/>
        <v>0</v>
      </c>
      <c r="BD23" s="1">
        <f t="shared" si="14"/>
        <v>1.395</v>
      </c>
      <c r="BE23" s="1">
        <f t="shared" si="14"/>
        <v>1.325</v>
      </c>
      <c r="BF23" s="1">
        <f t="shared" si="14"/>
        <v>0</v>
      </c>
      <c r="BG23" s="1"/>
      <c r="BH23" s="1">
        <f t="shared" si="15"/>
        <v>0</v>
      </c>
      <c r="BI23" s="1">
        <f t="shared" si="15"/>
        <v>0</v>
      </c>
      <c r="BJ23" s="1">
        <f t="shared" si="15"/>
        <v>0</v>
      </c>
      <c r="BK23" s="1">
        <f t="shared" si="15"/>
        <v>0</v>
      </c>
      <c r="BL23" s="1">
        <f t="shared" si="15"/>
        <v>0</v>
      </c>
      <c r="BM23" s="1">
        <f t="shared" si="15"/>
        <v>19.670000000000002</v>
      </c>
      <c r="BN23" s="1">
        <f t="shared" si="15"/>
        <v>20.52</v>
      </c>
      <c r="BO23" s="1">
        <f t="shared" si="15"/>
        <v>0</v>
      </c>
    </row>
    <row r="24" spans="1:67">
      <c r="A24" s="17" t="s">
        <v>52</v>
      </c>
      <c r="B24" s="14" t="s">
        <v>54</v>
      </c>
      <c r="C24">
        <v>39.090000000000003</v>
      </c>
      <c r="D24">
        <v>41.75</v>
      </c>
      <c r="E24">
        <v>0</v>
      </c>
      <c r="F24">
        <v>1</v>
      </c>
      <c r="G24">
        <v>39</v>
      </c>
      <c r="H24">
        <v>46.97</v>
      </c>
      <c r="I24">
        <v>0</v>
      </c>
      <c r="J24">
        <v>1</v>
      </c>
      <c r="K24" s="6">
        <f t="shared" si="0"/>
        <v>39.045000000000002</v>
      </c>
      <c r="L24" s="6">
        <f t="shared" si="1"/>
        <v>44.36</v>
      </c>
      <c r="M24">
        <v>1.1200000000000001</v>
      </c>
      <c r="N24">
        <v>0.94</v>
      </c>
      <c r="O24">
        <v>1</v>
      </c>
      <c r="P24">
        <v>0</v>
      </c>
      <c r="Q24">
        <v>1.1399999999999999</v>
      </c>
      <c r="R24">
        <v>1.5</v>
      </c>
      <c r="S24">
        <v>0</v>
      </c>
      <c r="T24">
        <v>1</v>
      </c>
      <c r="U24" s="6">
        <f t="shared" si="2"/>
        <v>1.1299999999999999</v>
      </c>
      <c r="V24" s="10">
        <f t="shared" si="3"/>
        <v>1.22</v>
      </c>
      <c r="W24">
        <v>39.200000000000003</v>
      </c>
      <c r="X24">
        <v>37.51</v>
      </c>
      <c r="Y24">
        <v>1</v>
      </c>
      <c r="Z24">
        <v>0</v>
      </c>
      <c r="AA24" s="1">
        <f t="shared" si="8"/>
        <v>2</v>
      </c>
      <c r="AB24" s="1">
        <f t="shared" si="9"/>
        <v>3</v>
      </c>
      <c r="AD24" s="1" t="str">
        <f t="shared" si="10"/>
        <v>Good</v>
      </c>
      <c r="AG24" s="1">
        <f t="shared" si="11"/>
        <v>2</v>
      </c>
      <c r="AH24" s="1">
        <f t="shared" si="11"/>
        <v>0</v>
      </c>
      <c r="AI24" s="1">
        <f t="shared" si="4"/>
        <v>0</v>
      </c>
      <c r="AJ24" s="1">
        <f t="shared" si="4"/>
        <v>3</v>
      </c>
      <c r="AK24" s="1">
        <f t="shared" si="4"/>
        <v>0</v>
      </c>
      <c r="AL24" s="1">
        <f t="shared" si="4"/>
        <v>0</v>
      </c>
      <c r="AM24" s="1">
        <f t="shared" si="4"/>
        <v>0</v>
      </c>
      <c r="AN24" s="1">
        <f t="shared" si="4"/>
        <v>0</v>
      </c>
      <c r="AO24" s="1" t="str">
        <f t="shared" si="12"/>
        <v>Good</v>
      </c>
      <c r="AP24" s="1">
        <f t="shared" si="13"/>
        <v>39.045000000000002</v>
      </c>
      <c r="AQ24" s="1">
        <f t="shared" si="16"/>
        <v>0</v>
      </c>
      <c r="AR24" s="1">
        <f t="shared" si="16"/>
        <v>0</v>
      </c>
      <c r="AS24" s="1">
        <f t="shared" si="16"/>
        <v>44.36</v>
      </c>
      <c r="AT24" s="1">
        <f t="shared" si="16"/>
        <v>0</v>
      </c>
      <c r="AU24" s="1">
        <f t="shared" si="16"/>
        <v>0</v>
      </c>
      <c r="AV24" s="1">
        <f t="shared" si="16"/>
        <v>0</v>
      </c>
      <c r="AW24" s="1">
        <f t="shared" si="16"/>
        <v>0</v>
      </c>
      <c r="AX24" s="1"/>
      <c r="AY24" s="1">
        <f t="shared" si="14"/>
        <v>1.1299999999999999</v>
      </c>
      <c r="AZ24" s="1">
        <f t="shared" si="14"/>
        <v>0</v>
      </c>
      <c r="BA24" s="1">
        <f t="shared" si="14"/>
        <v>0</v>
      </c>
      <c r="BB24" s="1">
        <f t="shared" si="14"/>
        <v>1.22</v>
      </c>
      <c r="BC24" s="1">
        <f t="shared" si="14"/>
        <v>0</v>
      </c>
      <c r="BD24" s="1">
        <f t="shared" si="14"/>
        <v>0</v>
      </c>
      <c r="BE24" s="1">
        <f t="shared" si="14"/>
        <v>0</v>
      </c>
      <c r="BF24" s="1">
        <f t="shared" si="14"/>
        <v>0</v>
      </c>
      <c r="BG24" s="1"/>
      <c r="BH24" s="1">
        <f t="shared" si="15"/>
        <v>39.200000000000003</v>
      </c>
      <c r="BI24" s="1">
        <f t="shared" si="15"/>
        <v>0</v>
      </c>
      <c r="BJ24" s="1">
        <f t="shared" si="15"/>
        <v>0</v>
      </c>
      <c r="BK24" s="1">
        <f t="shared" si="15"/>
        <v>37.51</v>
      </c>
      <c r="BL24" s="1">
        <f t="shared" si="15"/>
        <v>0</v>
      </c>
      <c r="BM24" s="1">
        <f t="shared" si="15"/>
        <v>0</v>
      </c>
      <c r="BN24" s="1">
        <f t="shared" si="15"/>
        <v>0</v>
      </c>
      <c r="BO24" s="1">
        <f t="shared" si="15"/>
        <v>0</v>
      </c>
    </row>
    <row r="25" spans="1:67">
      <c r="A25" s="17" t="s">
        <v>56</v>
      </c>
      <c r="B25" s="14" t="s">
        <v>51</v>
      </c>
      <c r="C25">
        <v>34.159999999999997</v>
      </c>
      <c r="D25">
        <v>35.5</v>
      </c>
      <c r="E25">
        <v>1</v>
      </c>
      <c r="F25">
        <v>0</v>
      </c>
      <c r="G25">
        <v>37.57</v>
      </c>
      <c r="H25">
        <v>35.07</v>
      </c>
      <c r="I25">
        <v>1</v>
      </c>
      <c r="J25">
        <v>0</v>
      </c>
      <c r="K25" s="6">
        <f t="shared" si="0"/>
        <v>35.864999999999995</v>
      </c>
      <c r="L25" s="6">
        <f t="shared" si="1"/>
        <v>35.284999999999997</v>
      </c>
      <c r="M25">
        <v>1.32</v>
      </c>
      <c r="N25">
        <v>1.33</v>
      </c>
      <c r="O25">
        <v>1</v>
      </c>
      <c r="P25">
        <v>0</v>
      </c>
      <c r="Q25">
        <v>1.27</v>
      </c>
      <c r="R25">
        <v>2.25</v>
      </c>
      <c r="S25">
        <v>0</v>
      </c>
      <c r="T25">
        <v>1</v>
      </c>
      <c r="U25" s="6">
        <f t="shared" si="2"/>
        <v>1.2949999999999999</v>
      </c>
      <c r="V25" s="10">
        <f t="shared" si="3"/>
        <v>1.79</v>
      </c>
      <c r="W25">
        <v>37.380000000000003</v>
      </c>
      <c r="X25">
        <v>41.05</v>
      </c>
      <c r="Y25">
        <v>0</v>
      </c>
      <c r="Z25">
        <v>1</v>
      </c>
      <c r="AA25" s="1">
        <f t="shared" si="8"/>
        <v>3</v>
      </c>
      <c r="AB25" s="1">
        <f t="shared" si="9"/>
        <v>2</v>
      </c>
      <c r="AD25" s="1" t="str">
        <f t="shared" si="10"/>
        <v>Good</v>
      </c>
      <c r="AG25" s="1">
        <f t="shared" si="11"/>
        <v>0</v>
      </c>
      <c r="AH25" s="1">
        <f t="shared" si="11"/>
        <v>2</v>
      </c>
      <c r="AI25" s="1">
        <f t="shared" si="4"/>
        <v>3</v>
      </c>
      <c r="AJ25" s="1">
        <f t="shared" si="4"/>
        <v>0</v>
      </c>
      <c r="AK25" s="1">
        <f t="shared" si="4"/>
        <v>0</v>
      </c>
      <c r="AL25" s="1">
        <f t="shared" si="4"/>
        <v>0</v>
      </c>
      <c r="AM25" s="1">
        <f t="shared" si="4"/>
        <v>0</v>
      </c>
      <c r="AN25" s="1">
        <f t="shared" si="4"/>
        <v>0</v>
      </c>
      <c r="AO25" s="1" t="str">
        <f t="shared" si="12"/>
        <v>Good</v>
      </c>
      <c r="AP25" s="1">
        <f t="shared" si="13"/>
        <v>0</v>
      </c>
      <c r="AQ25" s="1">
        <f t="shared" si="16"/>
        <v>35.284999999999997</v>
      </c>
      <c r="AR25" s="1">
        <f t="shared" si="16"/>
        <v>35.864999999999995</v>
      </c>
      <c r="AS25" s="1">
        <f t="shared" si="16"/>
        <v>0</v>
      </c>
      <c r="AT25" s="1">
        <f t="shared" si="16"/>
        <v>0</v>
      </c>
      <c r="AU25" s="1">
        <f t="shared" si="16"/>
        <v>0</v>
      </c>
      <c r="AV25" s="1">
        <f t="shared" si="16"/>
        <v>0</v>
      </c>
      <c r="AW25" s="1">
        <f t="shared" si="16"/>
        <v>0</v>
      </c>
      <c r="AX25" s="1"/>
      <c r="AY25" s="1">
        <f t="shared" si="14"/>
        <v>0</v>
      </c>
      <c r="AZ25" s="1">
        <f t="shared" si="14"/>
        <v>1.79</v>
      </c>
      <c r="BA25" s="1">
        <f t="shared" si="14"/>
        <v>1.2949999999999999</v>
      </c>
      <c r="BB25" s="1">
        <f t="shared" si="14"/>
        <v>0</v>
      </c>
      <c r="BC25" s="1">
        <f t="shared" si="14"/>
        <v>0</v>
      </c>
      <c r="BD25" s="1">
        <f t="shared" si="14"/>
        <v>0</v>
      </c>
      <c r="BE25" s="1">
        <f t="shared" si="14"/>
        <v>0</v>
      </c>
      <c r="BF25" s="1">
        <f t="shared" si="14"/>
        <v>0</v>
      </c>
      <c r="BG25" s="1"/>
      <c r="BH25" s="1">
        <f t="shared" si="15"/>
        <v>0</v>
      </c>
      <c r="BI25" s="1">
        <f t="shared" si="15"/>
        <v>41.05</v>
      </c>
      <c r="BJ25" s="1">
        <f t="shared" si="15"/>
        <v>37.380000000000003</v>
      </c>
      <c r="BK25" s="1">
        <f t="shared" si="15"/>
        <v>0</v>
      </c>
      <c r="BL25" s="1">
        <f t="shared" si="15"/>
        <v>0</v>
      </c>
      <c r="BM25" s="1">
        <f t="shared" si="15"/>
        <v>0</v>
      </c>
      <c r="BN25" s="1">
        <f t="shared" si="15"/>
        <v>0</v>
      </c>
      <c r="BO25" s="1">
        <f t="shared" si="15"/>
        <v>0</v>
      </c>
    </row>
    <row r="26" spans="1:67">
      <c r="A26" s="18" t="s">
        <v>49</v>
      </c>
      <c r="B26" s="19" t="s">
        <v>44</v>
      </c>
      <c r="C26" s="3">
        <v>34.380000000000003</v>
      </c>
      <c r="D26" s="3">
        <v>38.54</v>
      </c>
      <c r="E26" s="3">
        <v>0</v>
      </c>
      <c r="F26" s="3">
        <v>1</v>
      </c>
      <c r="G26" s="3">
        <v>24.24</v>
      </c>
      <c r="H26" s="3">
        <v>23.67</v>
      </c>
      <c r="I26" s="3">
        <v>1</v>
      </c>
      <c r="J26" s="3">
        <v>0</v>
      </c>
      <c r="K26" s="11">
        <f t="shared" si="0"/>
        <v>29.310000000000002</v>
      </c>
      <c r="L26" s="11">
        <f t="shared" si="1"/>
        <v>31.105</v>
      </c>
      <c r="M26" s="3">
        <v>1</v>
      </c>
      <c r="N26" s="3">
        <v>1.33</v>
      </c>
      <c r="O26" s="3">
        <v>0</v>
      </c>
      <c r="P26" s="3">
        <v>1</v>
      </c>
      <c r="Q26" s="3">
        <v>1.27</v>
      </c>
      <c r="R26" s="3">
        <v>1.87</v>
      </c>
      <c r="S26" s="3">
        <v>0</v>
      </c>
      <c r="T26" s="3">
        <v>1</v>
      </c>
      <c r="U26" s="11">
        <f t="shared" si="2"/>
        <v>1.135</v>
      </c>
      <c r="V26" s="12">
        <f t="shared" si="3"/>
        <v>1.6</v>
      </c>
      <c r="W26">
        <v>25.08</v>
      </c>
      <c r="X26">
        <v>24.75</v>
      </c>
      <c r="Y26">
        <v>1</v>
      </c>
      <c r="Z26">
        <v>0</v>
      </c>
      <c r="AA26" s="1">
        <f t="shared" si="8"/>
        <v>2</v>
      </c>
      <c r="AB26" s="1">
        <f t="shared" si="9"/>
        <v>3</v>
      </c>
      <c r="AD26" s="1" t="str">
        <f t="shared" si="10"/>
        <v>Good</v>
      </c>
      <c r="AG26" s="1">
        <f t="shared" si="11"/>
        <v>0</v>
      </c>
      <c r="AH26" s="1">
        <f t="shared" si="11"/>
        <v>0</v>
      </c>
      <c r="AI26" s="1">
        <f t="shared" si="4"/>
        <v>0</v>
      </c>
      <c r="AJ26" s="1">
        <f t="shared" si="4"/>
        <v>0</v>
      </c>
      <c r="AK26" s="1">
        <f t="shared" si="4"/>
        <v>2</v>
      </c>
      <c r="AL26" s="1">
        <f t="shared" si="4"/>
        <v>0</v>
      </c>
      <c r="AM26" s="1">
        <f t="shared" si="4"/>
        <v>0</v>
      </c>
      <c r="AN26" s="1">
        <f t="shared" si="4"/>
        <v>3</v>
      </c>
      <c r="AO26" s="1" t="str">
        <f t="shared" si="12"/>
        <v>Good</v>
      </c>
      <c r="AP26" s="1">
        <f t="shared" si="13"/>
        <v>0</v>
      </c>
      <c r="AQ26" s="1">
        <f t="shared" si="16"/>
        <v>0</v>
      </c>
      <c r="AR26" s="1">
        <f t="shared" si="16"/>
        <v>0</v>
      </c>
      <c r="AS26" s="1">
        <f t="shared" si="16"/>
        <v>0</v>
      </c>
      <c r="AT26" s="1">
        <f t="shared" si="16"/>
        <v>29.310000000000002</v>
      </c>
      <c r="AU26" s="1">
        <f t="shared" si="16"/>
        <v>0</v>
      </c>
      <c r="AV26" s="1">
        <f t="shared" si="16"/>
        <v>0</v>
      </c>
      <c r="AW26" s="1">
        <f t="shared" si="16"/>
        <v>31.105</v>
      </c>
      <c r="AX26" s="1"/>
      <c r="AY26" s="1">
        <f t="shared" si="14"/>
        <v>0</v>
      </c>
      <c r="AZ26" s="1">
        <f t="shared" si="14"/>
        <v>0</v>
      </c>
      <c r="BA26" s="1">
        <f t="shared" si="14"/>
        <v>0</v>
      </c>
      <c r="BB26" s="1">
        <f t="shared" si="14"/>
        <v>0</v>
      </c>
      <c r="BC26" s="1">
        <f t="shared" si="14"/>
        <v>1.135</v>
      </c>
      <c r="BD26" s="1">
        <f t="shared" si="14"/>
        <v>0</v>
      </c>
      <c r="BE26" s="1">
        <f t="shared" si="14"/>
        <v>0</v>
      </c>
      <c r="BF26" s="1">
        <f t="shared" si="14"/>
        <v>1.6</v>
      </c>
      <c r="BG26" s="1"/>
      <c r="BH26" s="1">
        <f t="shared" si="15"/>
        <v>0</v>
      </c>
      <c r="BI26" s="1">
        <f t="shared" si="15"/>
        <v>0</v>
      </c>
      <c r="BJ26" s="1">
        <f t="shared" si="15"/>
        <v>0</v>
      </c>
      <c r="BK26" s="1">
        <f t="shared" si="15"/>
        <v>0</v>
      </c>
      <c r="BL26" s="1">
        <f t="shared" si="15"/>
        <v>25.08</v>
      </c>
      <c r="BM26" s="1">
        <f t="shared" si="15"/>
        <v>0</v>
      </c>
      <c r="BN26" s="1">
        <f t="shared" si="15"/>
        <v>0</v>
      </c>
      <c r="BO26" s="1">
        <f t="shared" si="15"/>
        <v>24.75</v>
      </c>
    </row>
    <row r="27" spans="1:67">
      <c r="A27" s="15" t="s">
        <v>49</v>
      </c>
      <c r="B27" s="16" t="s">
        <v>56</v>
      </c>
      <c r="C27" s="7">
        <v>34.5</v>
      </c>
      <c r="D27" s="7">
        <v>33.6</v>
      </c>
      <c r="E27" s="7">
        <v>1</v>
      </c>
      <c r="F27" s="7">
        <v>0</v>
      </c>
      <c r="G27" s="7">
        <v>34.5</v>
      </c>
      <c r="H27" s="7">
        <v>33.6</v>
      </c>
      <c r="I27" s="21">
        <v>0</v>
      </c>
      <c r="J27" s="21">
        <v>0</v>
      </c>
      <c r="K27" s="8">
        <f t="shared" si="0"/>
        <v>34.5</v>
      </c>
      <c r="L27" s="8">
        <f t="shared" si="1"/>
        <v>33.6</v>
      </c>
      <c r="M27" s="7">
        <v>1.1599999999999999</v>
      </c>
      <c r="N27" s="7">
        <v>1.35</v>
      </c>
      <c r="O27" s="7">
        <v>1</v>
      </c>
      <c r="P27" s="7">
        <v>0</v>
      </c>
      <c r="Q27" s="7">
        <v>1.1599999999999999</v>
      </c>
      <c r="R27" s="7">
        <v>1.35</v>
      </c>
      <c r="S27" s="7">
        <v>0</v>
      </c>
      <c r="T27" s="7">
        <v>0</v>
      </c>
      <c r="U27" s="8">
        <f t="shared" si="2"/>
        <v>1.1599999999999999</v>
      </c>
      <c r="V27" s="9">
        <f t="shared" si="3"/>
        <v>1.35</v>
      </c>
      <c r="W27">
        <v>23.2</v>
      </c>
      <c r="X27">
        <v>26.8</v>
      </c>
      <c r="Y27">
        <v>1</v>
      </c>
      <c r="Z27">
        <v>0</v>
      </c>
      <c r="AA27" s="1">
        <f t="shared" si="8"/>
        <v>3</v>
      </c>
      <c r="AB27" s="1">
        <f t="shared" si="9"/>
        <v>0</v>
      </c>
      <c r="AD27" s="1" t="str">
        <f t="shared" si="10"/>
        <v>ERROR</v>
      </c>
      <c r="AG27" s="1">
        <f t="shared" si="11"/>
        <v>0</v>
      </c>
      <c r="AH27" s="1">
        <f t="shared" si="11"/>
        <v>0</v>
      </c>
      <c r="AI27" s="1">
        <f t="shared" si="4"/>
        <v>0</v>
      </c>
      <c r="AJ27" s="1">
        <f t="shared" si="4"/>
        <v>0</v>
      </c>
      <c r="AK27" s="1">
        <f t="shared" si="4"/>
        <v>3</v>
      </c>
      <c r="AL27" s="1">
        <f t="shared" si="4"/>
        <v>0</v>
      </c>
      <c r="AM27" s="1">
        <f t="shared" si="4"/>
        <v>0</v>
      </c>
      <c r="AN27" s="1">
        <f t="shared" si="4"/>
        <v>0</v>
      </c>
      <c r="AO27" s="1" t="str">
        <f t="shared" si="12"/>
        <v>ERROR</v>
      </c>
      <c r="AP27" s="1">
        <f t="shared" si="13"/>
        <v>0</v>
      </c>
      <c r="AQ27" s="1">
        <f t="shared" si="16"/>
        <v>0</v>
      </c>
      <c r="AR27" s="1">
        <f t="shared" si="16"/>
        <v>33.6</v>
      </c>
      <c r="AS27" s="1">
        <f t="shared" si="16"/>
        <v>0</v>
      </c>
      <c r="AT27" s="1">
        <f t="shared" si="16"/>
        <v>34.5</v>
      </c>
      <c r="AU27" s="1">
        <f t="shared" si="16"/>
        <v>0</v>
      </c>
      <c r="AV27" s="1">
        <f t="shared" si="16"/>
        <v>0</v>
      </c>
      <c r="AW27" s="1">
        <f t="shared" si="16"/>
        <v>0</v>
      </c>
      <c r="AX27" s="1"/>
      <c r="AY27" s="1">
        <f t="shared" si="14"/>
        <v>0</v>
      </c>
      <c r="AZ27" s="1">
        <f t="shared" si="14"/>
        <v>0</v>
      </c>
      <c r="BA27" s="1">
        <f t="shared" si="14"/>
        <v>1.35</v>
      </c>
      <c r="BB27" s="1">
        <f t="shared" si="14"/>
        <v>0</v>
      </c>
      <c r="BC27" s="1">
        <f t="shared" si="14"/>
        <v>1.1599999999999999</v>
      </c>
      <c r="BD27" s="1">
        <f t="shared" si="14"/>
        <v>0</v>
      </c>
      <c r="BE27" s="1">
        <f t="shared" si="14"/>
        <v>0</v>
      </c>
      <c r="BF27" s="1">
        <f t="shared" si="14"/>
        <v>0</v>
      </c>
      <c r="BG27" s="1"/>
      <c r="BH27" s="1">
        <f t="shared" si="15"/>
        <v>0</v>
      </c>
      <c r="BI27" s="1">
        <f t="shared" si="15"/>
        <v>0</v>
      </c>
      <c r="BJ27" s="1">
        <f t="shared" si="15"/>
        <v>26.8</v>
      </c>
      <c r="BK27" s="1">
        <f t="shared" si="15"/>
        <v>0</v>
      </c>
      <c r="BL27" s="1">
        <f t="shared" si="15"/>
        <v>23.2</v>
      </c>
      <c r="BM27" s="1">
        <f t="shared" si="15"/>
        <v>0</v>
      </c>
      <c r="BN27" s="1">
        <f t="shared" si="15"/>
        <v>0</v>
      </c>
      <c r="BO27" s="1">
        <f t="shared" si="15"/>
        <v>0</v>
      </c>
    </row>
    <row r="28" spans="1:67">
      <c r="A28" s="17" t="s">
        <v>51</v>
      </c>
      <c r="B28" s="14" t="s">
        <v>44</v>
      </c>
      <c r="C28">
        <v>40.119999999999997</v>
      </c>
      <c r="D28">
        <v>57.8</v>
      </c>
      <c r="E28">
        <v>0</v>
      </c>
      <c r="F28">
        <v>1</v>
      </c>
      <c r="G28">
        <v>42.94</v>
      </c>
      <c r="H28">
        <v>42.64</v>
      </c>
      <c r="I28">
        <v>1</v>
      </c>
      <c r="J28">
        <v>0</v>
      </c>
      <c r="K28" s="6">
        <f t="shared" si="0"/>
        <v>41.53</v>
      </c>
      <c r="L28" s="6">
        <f t="shared" si="1"/>
        <v>50.22</v>
      </c>
      <c r="M28">
        <v>1.43</v>
      </c>
      <c r="N28">
        <v>1.2</v>
      </c>
      <c r="O28">
        <v>1</v>
      </c>
      <c r="P28">
        <v>0</v>
      </c>
      <c r="Q28">
        <v>1.26</v>
      </c>
      <c r="R28">
        <v>1.42</v>
      </c>
      <c r="S28">
        <v>0</v>
      </c>
      <c r="T28">
        <v>1</v>
      </c>
      <c r="U28" s="6">
        <f t="shared" si="2"/>
        <v>1.345</v>
      </c>
      <c r="V28" s="10">
        <f t="shared" si="3"/>
        <v>1.31</v>
      </c>
      <c r="W28">
        <v>23.8</v>
      </c>
      <c r="X28">
        <v>23.1</v>
      </c>
      <c r="Y28">
        <v>0</v>
      </c>
      <c r="Z28">
        <v>1</v>
      </c>
      <c r="AA28" s="1">
        <f t="shared" si="8"/>
        <v>2</v>
      </c>
      <c r="AB28" s="1">
        <f t="shared" si="9"/>
        <v>3</v>
      </c>
      <c r="AD28" s="1" t="str">
        <f t="shared" si="10"/>
        <v>Good</v>
      </c>
      <c r="AG28" s="1">
        <f t="shared" si="11"/>
        <v>0</v>
      </c>
      <c r="AH28" s="1">
        <f t="shared" si="11"/>
        <v>2</v>
      </c>
      <c r="AI28" s="1">
        <f t="shared" si="4"/>
        <v>0</v>
      </c>
      <c r="AJ28" s="1">
        <f t="shared" si="4"/>
        <v>0</v>
      </c>
      <c r="AK28" s="1">
        <f t="shared" si="4"/>
        <v>0</v>
      </c>
      <c r="AL28" s="1">
        <f t="shared" si="4"/>
        <v>0</v>
      </c>
      <c r="AM28" s="1">
        <f t="shared" si="4"/>
        <v>0</v>
      </c>
      <c r="AN28" s="1">
        <f t="shared" si="4"/>
        <v>3</v>
      </c>
      <c r="AO28" s="1" t="str">
        <f t="shared" si="12"/>
        <v>Good</v>
      </c>
      <c r="AP28" s="1">
        <f t="shared" si="13"/>
        <v>0</v>
      </c>
      <c r="AQ28" s="1">
        <f t="shared" si="16"/>
        <v>41.53</v>
      </c>
      <c r="AR28" s="1">
        <f t="shared" si="16"/>
        <v>0</v>
      </c>
      <c r="AS28" s="1">
        <f t="shared" si="16"/>
        <v>0</v>
      </c>
      <c r="AT28" s="1">
        <f t="shared" si="16"/>
        <v>0</v>
      </c>
      <c r="AU28" s="1">
        <f t="shared" si="16"/>
        <v>0</v>
      </c>
      <c r="AV28" s="1">
        <f t="shared" si="16"/>
        <v>0</v>
      </c>
      <c r="AW28" s="1">
        <f t="shared" si="16"/>
        <v>50.22</v>
      </c>
      <c r="AX28" s="1"/>
      <c r="AY28" s="1">
        <f t="shared" si="14"/>
        <v>0</v>
      </c>
      <c r="AZ28" s="1">
        <f t="shared" si="14"/>
        <v>1.345</v>
      </c>
      <c r="BA28" s="1">
        <f t="shared" si="14"/>
        <v>0</v>
      </c>
      <c r="BB28" s="1">
        <f t="shared" si="14"/>
        <v>0</v>
      </c>
      <c r="BC28" s="1">
        <f t="shared" si="14"/>
        <v>0</v>
      </c>
      <c r="BD28" s="1">
        <f t="shared" si="14"/>
        <v>0</v>
      </c>
      <c r="BE28" s="1">
        <f t="shared" si="14"/>
        <v>0</v>
      </c>
      <c r="BF28" s="1">
        <f t="shared" si="14"/>
        <v>1.31</v>
      </c>
      <c r="BG28" s="1"/>
      <c r="BH28" s="1">
        <f t="shared" si="15"/>
        <v>0</v>
      </c>
      <c r="BI28" s="1">
        <f t="shared" si="15"/>
        <v>23.8</v>
      </c>
      <c r="BJ28" s="1">
        <f t="shared" si="15"/>
        <v>0</v>
      </c>
      <c r="BK28" s="1">
        <f t="shared" si="15"/>
        <v>0</v>
      </c>
      <c r="BL28" s="1">
        <f t="shared" si="15"/>
        <v>0</v>
      </c>
      <c r="BM28" s="1">
        <f t="shared" si="15"/>
        <v>0</v>
      </c>
      <c r="BN28" s="1">
        <f t="shared" si="15"/>
        <v>0</v>
      </c>
      <c r="BO28" s="1">
        <f t="shared" si="15"/>
        <v>23.1</v>
      </c>
    </row>
    <row r="29" spans="1:67">
      <c r="A29" s="17" t="s">
        <v>46</v>
      </c>
      <c r="B29" s="14" t="s">
        <v>54</v>
      </c>
      <c r="C29">
        <v>22.43</v>
      </c>
      <c r="D29">
        <v>21.47</v>
      </c>
      <c r="E29">
        <v>1</v>
      </c>
      <c r="F29">
        <v>0</v>
      </c>
      <c r="G29">
        <v>31.31</v>
      </c>
      <c r="H29">
        <v>33.270000000000003</v>
      </c>
      <c r="I29">
        <v>1</v>
      </c>
      <c r="J29">
        <v>0</v>
      </c>
      <c r="K29" s="6">
        <f t="shared" si="0"/>
        <v>26.869999999999997</v>
      </c>
      <c r="L29" s="6">
        <f t="shared" si="1"/>
        <v>27.37</v>
      </c>
      <c r="M29">
        <v>1.1299999999999999</v>
      </c>
      <c r="N29">
        <v>1.94</v>
      </c>
      <c r="O29">
        <v>0</v>
      </c>
      <c r="P29">
        <v>1</v>
      </c>
      <c r="Q29">
        <v>1.29</v>
      </c>
      <c r="R29">
        <v>1.53</v>
      </c>
      <c r="S29">
        <v>0</v>
      </c>
      <c r="T29">
        <v>1</v>
      </c>
      <c r="U29" s="6">
        <f t="shared" si="2"/>
        <v>1.21</v>
      </c>
      <c r="V29" s="10">
        <f t="shared" si="3"/>
        <v>1.7349999999999999</v>
      </c>
      <c r="W29">
        <v>32.25</v>
      </c>
      <c r="X29">
        <v>27.44</v>
      </c>
      <c r="Y29">
        <v>1</v>
      </c>
      <c r="Z29">
        <v>0</v>
      </c>
      <c r="AA29" s="1">
        <f t="shared" si="8"/>
        <v>3</v>
      </c>
      <c r="AB29" s="1">
        <f t="shared" si="9"/>
        <v>2</v>
      </c>
      <c r="AD29" s="1" t="str">
        <f t="shared" si="10"/>
        <v>Good</v>
      </c>
      <c r="AG29" s="1">
        <f t="shared" si="11"/>
        <v>0</v>
      </c>
      <c r="AH29" s="1">
        <f t="shared" si="11"/>
        <v>0</v>
      </c>
      <c r="AI29" s="1">
        <f t="shared" si="4"/>
        <v>0</v>
      </c>
      <c r="AJ29" s="1">
        <f t="shared" si="4"/>
        <v>2</v>
      </c>
      <c r="AK29" s="1">
        <f t="shared" si="4"/>
        <v>0</v>
      </c>
      <c r="AL29" s="1">
        <f t="shared" si="4"/>
        <v>0</v>
      </c>
      <c r="AM29" s="1">
        <f t="shared" si="4"/>
        <v>3</v>
      </c>
      <c r="AN29" s="1">
        <f t="shared" si="4"/>
        <v>0</v>
      </c>
      <c r="AO29" s="1" t="str">
        <f t="shared" si="12"/>
        <v>Good</v>
      </c>
      <c r="AP29" s="1">
        <f t="shared" si="13"/>
        <v>0</v>
      </c>
      <c r="AQ29" s="1">
        <f t="shared" si="16"/>
        <v>0</v>
      </c>
      <c r="AR29" s="1">
        <f t="shared" si="16"/>
        <v>0</v>
      </c>
      <c r="AS29" s="1">
        <f t="shared" si="16"/>
        <v>27.37</v>
      </c>
      <c r="AT29" s="1">
        <f t="shared" si="16"/>
        <v>0</v>
      </c>
      <c r="AU29" s="1">
        <f t="shared" si="16"/>
        <v>0</v>
      </c>
      <c r="AV29" s="1">
        <f t="shared" si="16"/>
        <v>26.869999999999997</v>
      </c>
      <c r="AW29" s="1">
        <f t="shared" si="16"/>
        <v>0</v>
      </c>
      <c r="AX29" s="1"/>
      <c r="AY29" s="1">
        <f t="shared" si="14"/>
        <v>0</v>
      </c>
      <c r="AZ29" s="1">
        <f t="shared" si="14"/>
        <v>0</v>
      </c>
      <c r="BA29" s="1">
        <f t="shared" si="14"/>
        <v>0</v>
      </c>
      <c r="BB29" s="1">
        <f t="shared" si="14"/>
        <v>1.7349999999999999</v>
      </c>
      <c r="BC29" s="1">
        <f t="shared" si="14"/>
        <v>0</v>
      </c>
      <c r="BD29" s="1">
        <f t="shared" si="14"/>
        <v>0</v>
      </c>
      <c r="BE29" s="1">
        <f t="shared" si="14"/>
        <v>1.21</v>
      </c>
      <c r="BF29" s="1">
        <f t="shared" si="14"/>
        <v>0</v>
      </c>
      <c r="BG29" s="1"/>
      <c r="BH29" s="1">
        <f t="shared" si="15"/>
        <v>0</v>
      </c>
      <c r="BI29" s="1">
        <f t="shared" si="15"/>
        <v>0</v>
      </c>
      <c r="BJ29" s="1">
        <f t="shared" si="15"/>
        <v>0</v>
      </c>
      <c r="BK29" s="1">
        <f t="shared" si="15"/>
        <v>27.44</v>
      </c>
      <c r="BL29" s="1">
        <f t="shared" si="15"/>
        <v>0</v>
      </c>
      <c r="BM29" s="1">
        <f t="shared" si="15"/>
        <v>0</v>
      </c>
      <c r="BN29" s="1">
        <f t="shared" si="15"/>
        <v>32.25</v>
      </c>
      <c r="BO29" s="1">
        <f t="shared" si="15"/>
        <v>0</v>
      </c>
    </row>
    <row r="30" spans="1:67">
      <c r="A30" s="18" t="s">
        <v>52</v>
      </c>
      <c r="B30" s="19" t="s">
        <v>48</v>
      </c>
      <c r="C30" s="3">
        <v>21.17</v>
      </c>
      <c r="D30" s="3">
        <v>20.75</v>
      </c>
      <c r="E30" s="3">
        <v>1</v>
      </c>
      <c r="F30" s="3">
        <v>0</v>
      </c>
      <c r="G30" s="3">
        <v>17.54</v>
      </c>
      <c r="H30" s="3">
        <v>18.11</v>
      </c>
      <c r="I30" s="3">
        <v>0</v>
      </c>
      <c r="J30" s="3">
        <v>1</v>
      </c>
      <c r="K30" s="11">
        <f t="shared" si="0"/>
        <v>19.355</v>
      </c>
      <c r="L30" s="11">
        <f t="shared" si="1"/>
        <v>19.43</v>
      </c>
      <c r="M30" s="3">
        <v>0.97</v>
      </c>
      <c r="N30" s="3">
        <v>1</v>
      </c>
      <c r="O30" s="3">
        <v>0</v>
      </c>
      <c r="P30" s="3">
        <v>1</v>
      </c>
      <c r="Q30" s="3">
        <v>1.27</v>
      </c>
      <c r="R30" s="3">
        <v>1.81</v>
      </c>
      <c r="S30" s="3">
        <v>0</v>
      </c>
      <c r="T30" s="3">
        <v>1</v>
      </c>
      <c r="U30" s="11">
        <f t="shared" si="2"/>
        <v>1.1200000000000001</v>
      </c>
      <c r="V30" s="12">
        <f t="shared" si="3"/>
        <v>1.405</v>
      </c>
      <c r="W30">
        <v>22.58</v>
      </c>
      <c r="X30">
        <v>22.23</v>
      </c>
      <c r="Y30">
        <v>1</v>
      </c>
      <c r="Z30">
        <v>0</v>
      </c>
      <c r="AA30" s="1">
        <f t="shared" si="8"/>
        <v>2</v>
      </c>
      <c r="AB30" s="1">
        <f t="shared" si="9"/>
        <v>3</v>
      </c>
      <c r="AD30" s="1" t="str">
        <f t="shared" si="10"/>
        <v>Good</v>
      </c>
      <c r="AG30" s="1">
        <f t="shared" si="11"/>
        <v>2</v>
      </c>
      <c r="AH30" s="1">
        <f t="shared" si="11"/>
        <v>0</v>
      </c>
      <c r="AI30" s="1">
        <f t="shared" si="4"/>
        <v>0</v>
      </c>
      <c r="AJ30" s="1">
        <f t="shared" si="4"/>
        <v>0</v>
      </c>
      <c r="AK30" s="1">
        <f t="shared" si="4"/>
        <v>0</v>
      </c>
      <c r="AL30" s="1">
        <f>IFERROR(VLOOKUP(AL$2,$A30:$AA30,27,FALSE),0)+IFERROR(VLOOKUP(AL$2,$B30:$AB30,27,FALSE),0)</f>
        <v>3</v>
      </c>
      <c r="AM30" s="1">
        <f>IFERROR(VLOOKUP(AM$2,$A30:$AA30,27,FALSE),0)+IFERROR(VLOOKUP(AM$2,$B30:$AB30,27,FALSE),0)</f>
        <v>0</v>
      </c>
      <c r="AN30" s="1">
        <f>IFERROR(VLOOKUP(AN$2,$A30:$AA30,27,FALSE),0)+IFERROR(VLOOKUP(AN$2,$B30:$AB30,27,FALSE),0)</f>
        <v>0</v>
      </c>
      <c r="AO30" s="1" t="str">
        <f t="shared" si="12"/>
        <v>Good</v>
      </c>
      <c r="AP30" s="1">
        <f t="shared" si="13"/>
        <v>19.355</v>
      </c>
      <c r="AQ30" s="1">
        <f t="shared" si="16"/>
        <v>0</v>
      </c>
      <c r="AR30" s="1">
        <f t="shared" si="16"/>
        <v>0</v>
      </c>
      <c r="AS30" s="1">
        <f t="shared" si="16"/>
        <v>0</v>
      </c>
      <c r="AT30" s="1">
        <f t="shared" si="16"/>
        <v>0</v>
      </c>
      <c r="AU30" s="1">
        <f t="shared" si="16"/>
        <v>19.43</v>
      </c>
      <c r="AV30" s="1">
        <f t="shared" si="16"/>
        <v>0</v>
      </c>
      <c r="AW30" s="1">
        <f t="shared" si="16"/>
        <v>0</v>
      </c>
      <c r="AX30" s="1"/>
      <c r="AY30" s="1">
        <f t="shared" si="14"/>
        <v>1.1200000000000001</v>
      </c>
      <c r="AZ30" s="1">
        <f t="shared" si="14"/>
        <v>0</v>
      </c>
      <c r="BA30" s="1">
        <f t="shared" si="14"/>
        <v>0</v>
      </c>
      <c r="BB30" s="1">
        <f t="shared" si="14"/>
        <v>0</v>
      </c>
      <c r="BC30" s="1">
        <f t="shared" si="14"/>
        <v>0</v>
      </c>
      <c r="BD30" s="1">
        <f t="shared" si="14"/>
        <v>1.405</v>
      </c>
      <c r="BE30" s="1">
        <f t="shared" si="14"/>
        <v>0</v>
      </c>
      <c r="BF30" s="1">
        <f t="shared" si="14"/>
        <v>0</v>
      </c>
      <c r="BG30" s="1"/>
      <c r="BH30" s="1">
        <f t="shared" si="15"/>
        <v>22.58</v>
      </c>
      <c r="BI30" s="1">
        <f t="shared" si="15"/>
        <v>0</v>
      </c>
      <c r="BJ30" s="1">
        <f t="shared" si="15"/>
        <v>0</v>
      </c>
      <c r="BK30" s="1">
        <f t="shared" si="15"/>
        <v>0</v>
      </c>
      <c r="BL30" s="1">
        <f t="shared" si="15"/>
        <v>0</v>
      </c>
      <c r="BM30" s="1">
        <f t="shared" si="15"/>
        <v>22.23</v>
      </c>
      <c r="BN30" s="1">
        <f t="shared" si="15"/>
        <v>0</v>
      </c>
      <c r="BO30" s="1">
        <f t="shared" si="15"/>
        <v>0</v>
      </c>
    </row>
    <row r="31" spans="1:67">
      <c r="AF31" s="2" t="s">
        <v>181</v>
      </c>
      <c r="AG31" s="2">
        <f t="shared" ref="AG31:AN31" si="17">SUM(AG3:AG30)</f>
        <v>14</v>
      </c>
      <c r="AH31" s="2">
        <f t="shared" si="17"/>
        <v>16</v>
      </c>
      <c r="AI31" s="2">
        <f t="shared" si="17"/>
        <v>19</v>
      </c>
      <c r="AJ31" s="2">
        <f t="shared" si="17"/>
        <v>18</v>
      </c>
      <c r="AK31" s="2">
        <f t="shared" si="17"/>
        <v>19</v>
      </c>
      <c r="AL31" s="2">
        <f t="shared" si="17"/>
        <v>16</v>
      </c>
      <c r="AM31" s="2">
        <f t="shared" si="17"/>
        <v>18</v>
      </c>
      <c r="AN31" s="2">
        <f t="shared" si="17"/>
        <v>18</v>
      </c>
      <c r="AP31" s="2">
        <f t="shared" ref="AP31:AW31" si="18">AVERAGEIF(AP3:AP30,"&gt;0")</f>
        <v>31.767142857142854</v>
      </c>
      <c r="AQ31" s="2">
        <f t="shared" si="18"/>
        <v>36.184285714285714</v>
      </c>
      <c r="AR31" s="2">
        <f t="shared" si="18"/>
        <v>33.896428571428572</v>
      </c>
      <c r="AS31" s="2">
        <f t="shared" si="18"/>
        <v>34.702857142857148</v>
      </c>
      <c r="AT31" s="2">
        <f t="shared" si="18"/>
        <v>34.491428571428571</v>
      </c>
      <c r="AU31" s="2">
        <f t="shared" si="18"/>
        <v>31.537142857142861</v>
      </c>
      <c r="AV31" s="2">
        <f t="shared" si="18"/>
        <v>31.292857142857144</v>
      </c>
      <c r="AW31" s="2">
        <f t="shared" si="18"/>
        <v>37.98714285714285</v>
      </c>
      <c r="AY31" s="2">
        <f t="shared" ref="AY31:BF31" si="19">AVERAGEIF(AY3:AY30,"&gt;0")</f>
        <v>1.2242857142857144</v>
      </c>
      <c r="AZ31" s="2">
        <f t="shared" si="19"/>
        <v>1.292142857142857</v>
      </c>
      <c r="BA31" s="2">
        <f t="shared" si="19"/>
        <v>1.3385714285714285</v>
      </c>
      <c r="BB31" s="2">
        <f t="shared" si="19"/>
        <v>1.4721428571428572</v>
      </c>
      <c r="BC31" s="2">
        <f t="shared" si="19"/>
        <v>1.1635714285714285</v>
      </c>
      <c r="BD31" s="2">
        <f t="shared" si="19"/>
        <v>1.2207142857142854</v>
      </c>
      <c r="BE31" s="2">
        <f t="shared" si="19"/>
        <v>1.2228571428571429</v>
      </c>
      <c r="BF31" s="2">
        <f t="shared" si="19"/>
        <v>1.3800000000000001</v>
      </c>
      <c r="BH31" s="2">
        <f t="shared" ref="BH31:BO31" si="20">AVERAGEIF(BH3:BH30,"&gt;0")</f>
        <v>25.494285714285713</v>
      </c>
      <c r="BI31" s="2">
        <f t="shared" si="20"/>
        <v>27.564285714285713</v>
      </c>
      <c r="BJ31" s="2">
        <f t="shared" si="20"/>
        <v>28.32</v>
      </c>
      <c r="BK31" s="2">
        <f t="shared" si="20"/>
        <v>27.345714285714283</v>
      </c>
      <c r="BL31" s="2">
        <f t="shared" si="20"/>
        <v>23.158571428571431</v>
      </c>
      <c r="BM31" s="2">
        <f t="shared" si="20"/>
        <v>21.324285714285715</v>
      </c>
      <c r="BN31" s="2">
        <f t="shared" si="20"/>
        <v>25.868571428571432</v>
      </c>
      <c r="BO31" s="2">
        <f t="shared" si="20"/>
        <v>27.037142857142857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2A2A0-0CF4-4DD2-ADF5-7D7F00CC7E5D}">
  <dimension ref="A1:N11"/>
  <sheetViews>
    <sheetView workbookViewId="0">
      <selection activeCell="C2" sqref="C2:G9"/>
    </sheetView>
  </sheetViews>
  <sheetFormatPr defaultRowHeight="14.45"/>
  <cols>
    <col min="1" max="1" width="16" bestFit="1" customWidth="1"/>
    <col min="2" max="2" width="13.5703125" customWidth="1"/>
    <col min="3" max="3" width="15.7109375" bestFit="1" customWidth="1"/>
    <col min="4" max="4" width="18.5703125" customWidth="1"/>
  </cols>
  <sheetData>
    <row r="1" spans="1:14">
      <c r="A1" s="2" t="s">
        <v>182</v>
      </c>
      <c r="B1" s="2" t="s">
        <v>147</v>
      </c>
      <c r="C1" s="2" t="s">
        <v>183</v>
      </c>
      <c r="D1" s="2" t="s">
        <v>148</v>
      </c>
      <c r="E1" s="2" t="s">
        <v>26</v>
      </c>
      <c r="F1" s="2" t="s">
        <v>33</v>
      </c>
      <c r="G1" s="2" t="s">
        <v>34</v>
      </c>
      <c r="M1" t="s">
        <v>184</v>
      </c>
      <c r="N1" t="s">
        <v>185</v>
      </c>
    </row>
    <row r="2" spans="1:14">
      <c r="A2" s="14" t="s">
        <v>52</v>
      </c>
      <c r="B2">
        <v>7</v>
      </c>
      <c r="C2" s="13">
        <f>D2/B2</f>
        <v>2</v>
      </c>
      <c r="D2" s="1">
        <f>'Match Data - D'!AG$31</f>
        <v>14</v>
      </c>
      <c r="E2" s="13">
        <f>HLOOKUP(A2,'Match Data - D'!$AP$2:$AW$31,30,FALSE)</f>
        <v>31.767142857142854</v>
      </c>
      <c r="F2" s="20">
        <f>HLOOKUP(A2,'Match Data - D'!$AY$2:$BF$31,30,FALSE)</f>
        <v>1.2242857142857144</v>
      </c>
      <c r="G2" s="13">
        <f>HLOOKUP(A2,'Match Data - D'!$BH$2:$BO$31,30,FALSE)</f>
        <v>25.494285714285713</v>
      </c>
      <c r="L2">
        <v>50</v>
      </c>
      <c r="M2">
        <v>2</v>
      </c>
      <c r="N2">
        <v>40</v>
      </c>
    </row>
    <row r="3" spans="1:14">
      <c r="A3" s="14" t="s">
        <v>51</v>
      </c>
      <c r="B3">
        <v>7</v>
      </c>
      <c r="C3" s="13">
        <f t="shared" ref="C3:C9" si="0">D3/B3</f>
        <v>2.2857142857142856</v>
      </c>
      <c r="D3" s="1">
        <f>'Match Data - D'!AH$31</f>
        <v>16</v>
      </c>
      <c r="E3" s="13">
        <f>HLOOKUP(A3,'Match Data - D'!$AP$2:$AW$31,30,FALSE)</f>
        <v>36.184285714285714</v>
      </c>
      <c r="F3" s="20">
        <f>HLOOKUP(A3,'Match Data - D'!$AY$2:$BF$31,30,FALSE)</f>
        <v>1.292142857142857</v>
      </c>
      <c r="G3" s="13">
        <f>HLOOKUP(A3,'Match Data - D'!$BH$2:$BO$31,30,FALSE)</f>
        <v>27.564285714285713</v>
      </c>
    </row>
    <row r="4" spans="1:14">
      <c r="A4" s="14" t="s">
        <v>56</v>
      </c>
      <c r="B4">
        <v>7</v>
      </c>
      <c r="C4" s="13">
        <f t="shared" si="0"/>
        <v>2.7142857142857144</v>
      </c>
      <c r="D4" s="1">
        <f>'Match Data - D'!AI$31</f>
        <v>19</v>
      </c>
      <c r="E4" s="13">
        <f>HLOOKUP(A4,'Match Data - D'!$AP$2:$AW$31,30,FALSE)</f>
        <v>33.896428571428572</v>
      </c>
      <c r="F4" s="20">
        <f>HLOOKUP(A4,'Match Data - D'!$AY$2:$BF$31,30,FALSE)</f>
        <v>1.3385714285714285</v>
      </c>
      <c r="G4" s="13">
        <f>HLOOKUP(A4,'Match Data - D'!$BH$2:$BO$31,30,FALSE)</f>
        <v>28.32</v>
      </c>
    </row>
    <row r="5" spans="1:14">
      <c r="A5" s="14" t="s">
        <v>54</v>
      </c>
      <c r="B5">
        <v>7</v>
      </c>
      <c r="C5" s="13">
        <f t="shared" si="0"/>
        <v>2.5714285714285716</v>
      </c>
      <c r="D5" s="1">
        <f>'Match Data - D'!AJ$31</f>
        <v>18</v>
      </c>
      <c r="E5" s="13">
        <f>HLOOKUP(A5,'Match Data - D'!$AP$2:$AW$31,30,FALSE)</f>
        <v>34.702857142857148</v>
      </c>
      <c r="F5" s="20">
        <f>HLOOKUP(A5,'Match Data - D'!$AY$2:$BF$31,30,FALSE)</f>
        <v>1.4721428571428572</v>
      </c>
      <c r="G5" s="13">
        <f>HLOOKUP(A5,'Match Data - D'!$BH$2:$BO$31,30,FALSE)</f>
        <v>27.345714285714283</v>
      </c>
    </row>
    <row r="6" spans="1:14">
      <c r="A6" s="14" t="s">
        <v>49</v>
      </c>
      <c r="B6">
        <v>7</v>
      </c>
      <c r="C6" s="13">
        <f t="shared" si="0"/>
        <v>2.7142857142857144</v>
      </c>
      <c r="D6" s="1">
        <f>'Match Data - D'!AK$31</f>
        <v>19</v>
      </c>
      <c r="E6" s="13">
        <f>HLOOKUP(A6,'Match Data - D'!$AP$2:$AW$31,30,FALSE)</f>
        <v>34.491428571428571</v>
      </c>
      <c r="F6" s="20">
        <f>HLOOKUP(A6,'Match Data - D'!$AY$2:$BF$31,30,FALSE)</f>
        <v>1.1635714285714285</v>
      </c>
      <c r="G6" s="13">
        <f>HLOOKUP(A6,'Match Data - D'!$BH$2:$BO$31,30,FALSE)</f>
        <v>23.158571428571431</v>
      </c>
    </row>
    <row r="7" spans="1:14">
      <c r="A7" s="14" t="s">
        <v>48</v>
      </c>
      <c r="B7">
        <v>7</v>
      </c>
      <c r="C7" s="13">
        <f t="shared" si="0"/>
        <v>2.2857142857142856</v>
      </c>
      <c r="D7" s="1">
        <f>'Match Data - D'!AL$31</f>
        <v>16</v>
      </c>
      <c r="E7" s="13">
        <f>HLOOKUP(A7,'Match Data - D'!$AP$2:$AW$31,30,FALSE)</f>
        <v>31.537142857142861</v>
      </c>
      <c r="F7" s="20">
        <f>HLOOKUP(A7,'Match Data - D'!$AY$2:$BF$31,30,FALSE)</f>
        <v>1.2207142857142854</v>
      </c>
      <c r="G7" s="13">
        <f>HLOOKUP(A7,'Match Data - D'!$BH$2:$BO$31,30,FALSE)</f>
        <v>21.324285714285715</v>
      </c>
    </row>
    <row r="8" spans="1:14">
      <c r="A8" s="14" t="s">
        <v>46</v>
      </c>
      <c r="B8">
        <v>7</v>
      </c>
      <c r="C8" s="13">
        <f t="shared" si="0"/>
        <v>2.5714285714285716</v>
      </c>
      <c r="D8" s="1">
        <f>'Match Data - D'!AM$31</f>
        <v>18</v>
      </c>
      <c r="E8" s="13">
        <f>HLOOKUP(A8,'Match Data - D'!$AP$2:$AW$31,30,FALSE)</f>
        <v>31.292857142857144</v>
      </c>
      <c r="F8" s="20">
        <f>HLOOKUP(A8,'Match Data - D'!$AY$2:$BF$31,30,FALSE)</f>
        <v>1.2228571428571429</v>
      </c>
      <c r="G8" s="13">
        <f>HLOOKUP(A8,'Match Data - D'!$BH$2:$BO$31,30,FALSE)</f>
        <v>25.868571428571432</v>
      </c>
    </row>
    <row r="9" spans="1:14">
      <c r="A9" s="14" t="s">
        <v>44</v>
      </c>
      <c r="B9">
        <v>7</v>
      </c>
      <c r="C9" s="13">
        <f t="shared" si="0"/>
        <v>2.5714285714285716</v>
      </c>
      <c r="D9" s="1">
        <f>'Match Data - D'!AN$31</f>
        <v>18</v>
      </c>
      <c r="E9" s="13">
        <f>HLOOKUP(A9,'Match Data - D'!$AP$2:$AW$31,30,FALSE)</f>
        <v>37.98714285714285</v>
      </c>
      <c r="F9" s="20">
        <f>HLOOKUP(A9,'Match Data - D'!$AY$2:$BF$31,30,FALSE)</f>
        <v>1.3800000000000001</v>
      </c>
      <c r="G9" s="13">
        <f>HLOOKUP(A9,'Match Data - D'!$BH$2:$BO$31,30,FALSE)</f>
        <v>27.037142857142857</v>
      </c>
    </row>
    <row r="10" spans="1:14">
      <c r="B10">
        <f>SUM(B2:B9)</f>
        <v>56</v>
      </c>
    </row>
    <row r="11" spans="1:14">
      <c r="H11" s="3"/>
    </row>
  </sheetData>
  <sortState xmlns:xlrd2="http://schemas.microsoft.com/office/spreadsheetml/2017/richdata2" ref="A2:G9">
    <sortCondition ref="A2:A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13C60-B892-47D0-8769-BDF9BDC55725}">
  <dimension ref="A1:K21"/>
  <sheetViews>
    <sheetView workbookViewId="0">
      <selection activeCell="I4" sqref="I4"/>
    </sheetView>
  </sheetViews>
  <sheetFormatPr defaultRowHeight="14.45"/>
  <cols>
    <col min="1" max="1" width="20.85546875" customWidth="1"/>
  </cols>
  <sheetData>
    <row r="1" spans="1:11">
      <c r="B1" t="s">
        <v>186</v>
      </c>
    </row>
    <row r="2" spans="1:11">
      <c r="A2" s="2" t="s">
        <v>187</v>
      </c>
      <c r="B2" s="2" t="s">
        <v>188</v>
      </c>
      <c r="C2" s="2" t="s">
        <v>189</v>
      </c>
      <c r="D2" s="2" t="s">
        <v>190</v>
      </c>
      <c r="E2" s="2" t="s">
        <v>191</v>
      </c>
      <c r="F2" s="2" t="s">
        <v>192</v>
      </c>
      <c r="G2" s="2" t="s">
        <v>193</v>
      </c>
      <c r="H2" s="2" t="s">
        <v>194</v>
      </c>
      <c r="I2" s="2" t="s">
        <v>195</v>
      </c>
      <c r="J2" s="2" t="s">
        <v>196</v>
      </c>
      <c r="K2" s="2" t="s">
        <v>197</v>
      </c>
    </row>
    <row r="3" spans="1:11">
      <c r="A3" s="14" t="s">
        <v>89</v>
      </c>
      <c r="B3">
        <v>2</v>
      </c>
      <c r="C3">
        <v>2</v>
      </c>
      <c r="D3">
        <v>4</v>
      </c>
      <c r="E3">
        <v>4</v>
      </c>
      <c r="F3">
        <v>2</v>
      </c>
      <c r="G3">
        <v>3</v>
      </c>
      <c r="H3">
        <v>1</v>
      </c>
      <c r="I3" s="1">
        <f t="shared" ref="I3:I18" si="0">SUM(B3:H3)</f>
        <v>18</v>
      </c>
      <c r="J3">
        <v>41</v>
      </c>
      <c r="K3">
        <v>50</v>
      </c>
    </row>
    <row r="4" spans="1:11">
      <c r="A4" s="14" t="s">
        <v>102</v>
      </c>
      <c r="B4">
        <v>3</v>
      </c>
      <c r="C4">
        <v>2</v>
      </c>
      <c r="D4">
        <v>1</v>
      </c>
      <c r="E4">
        <v>2</v>
      </c>
      <c r="F4">
        <v>1</v>
      </c>
      <c r="G4">
        <v>2</v>
      </c>
      <c r="H4" s="22">
        <v>0</v>
      </c>
      <c r="I4" s="1">
        <f t="shared" si="0"/>
        <v>11</v>
      </c>
      <c r="J4">
        <v>30</v>
      </c>
      <c r="K4">
        <v>14</v>
      </c>
    </row>
    <row r="5" spans="1:11">
      <c r="A5" s="14" t="s">
        <v>57</v>
      </c>
      <c r="B5">
        <v>1</v>
      </c>
      <c r="C5">
        <v>1</v>
      </c>
      <c r="D5">
        <v>1</v>
      </c>
      <c r="E5">
        <v>4</v>
      </c>
      <c r="F5">
        <v>1</v>
      </c>
      <c r="G5">
        <v>1</v>
      </c>
      <c r="H5" s="22">
        <v>0</v>
      </c>
      <c r="I5" s="1">
        <f t="shared" si="0"/>
        <v>9</v>
      </c>
      <c r="J5">
        <v>30</v>
      </c>
      <c r="K5">
        <v>32</v>
      </c>
    </row>
    <row r="6" spans="1:11">
      <c r="A6" s="14" t="s">
        <v>86</v>
      </c>
      <c r="B6">
        <v>0</v>
      </c>
      <c r="C6">
        <v>0</v>
      </c>
      <c r="D6">
        <v>4</v>
      </c>
      <c r="E6">
        <v>0</v>
      </c>
      <c r="F6">
        <v>1</v>
      </c>
      <c r="G6">
        <v>0</v>
      </c>
      <c r="H6">
        <v>3</v>
      </c>
      <c r="I6" s="1">
        <f t="shared" si="0"/>
        <v>8</v>
      </c>
      <c r="J6">
        <v>48</v>
      </c>
      <c r="K6">
        <v>52</v>
      </c>
    </row>
    <row r="7" spans="1:11">
      <c r="A7" s="14" t="s">
        <v>55</v>
      </c>
      <c r="B7">
        <v>1</v>
      </c>
      <c r="C7">
        <v>1</v>
      </c>
      <c r="D7">
        <v>1</v>
      </c>
      <c r="E7">
        <v>0</v>
      </c>
      <c r="F7">
        <v>0</v>
      </c>
      <c r="G7">
        <v>1</v>
      </c>
      <c r="H7">
        <v>3</v>
      </c>
      <c r="I7" s="1">
        <f t="shared" si="0"/>
        <v>7</v>
      </c>
      <c r="J7">
        <v>92</v>
      </c>
      <c r="K7">
        <v>41</v>
      </c>
    </row>
    <row r="8" spans="1:11">
      <c r="A8" s="14" t="s">
        <v>91</v>
      </c>
      <c r="B8">
        <v>0</v>
      </c>
      <c r="C8">
        <v>1</v>
      </c>
      <c r="D8">
        <v>1</v>
      </c>
      <c r="E8">
        <v>1</v>
      </c>
      <c r="F8">
        <v>0</v>
      </c>
      <c r="G8">
        <v>4</v>
      </c>
      <c r="H8">
        <v>0</v>
      </c>
      <c r="I8" s="1">
        <f t="shared" si="0"/>
        <v>7</v>
      </c>
      <c r="J8">
        <v>34</v>
      </c>
      <c r="K8">
        <v>40</v>
      </c>
    </row>
    <row r="9" spans="1:11">
      <c r="A9" s="14" t="s">
        <v>94</v>
      </c>
      <c r="B9">
        <v>0</v>
      </c>
      <c r="C9">
        <v>1</v>
      </c>
      <c r="D9">
        <v>1</v>
      </c>
      <c r="E9">
        <v>0</v>
      </c>
      <c r="F9">
        <v>3</v>
      </c>
      <c r="G9">
        <v>0</v>
      </c>
      <c r="H9">
        <v>2</v>
      </c>
      <c r="I9" s="1">
        <f t="shared" si="0"/>
        <v>7</v>
      </c>
      <c r="J9">
        <v>32</v>
      </c>
      <c r="K9">
        <v>20</v>
      </c>
    </row>
    <row r="10" spans="1:11">
      <c r="A10" s="14" t="s">
        <v>96</v>
      </c>
      <c r="B10">
        <v>1</v>
      </c>
      <c r="C10">
        <v>0</v>
      </c>
      <c r="D10">
        <v>2</v>
      </c>
      <c r="E10">
        <v>2</v>
      </c>
      <c r="F10">
        <v>0</v>
      </c>
      <c r="G10">
        <v>0</v>
      </c>
      <c r="H10">
        <v>1</v>
      </c>
      <c r="I10" s="1">
        <f t="shared" si="0"/>
        <v>6</v>
      </c>
      <c r="J10">
        <v>32</v>
      </c>
      <c r="K10">
        <v>83</v>
      </c>
    </row>
    <row r="11" spans="1:11">
      <c r="A11" s="14" t="s">
        <v>113</v>
      </c>
      <c r="B11">
        <v>1</v>
      </c>
      <c r="C11">
        <v>1</v>
      </c>
      <c r="D11">
        <v>1</v>
      </c>
      <c r="E11">
        <v>0</v>
      </c>
      <c r="F11">
        <v>1</v>
      </c>
      <c r="G11">
        <v>0</v>
      </c>
      <c r="H11">
        <v>1</v>
      </c>
      <c r="I11" s="1">
        <f t="shared" si="0"/>
        <v>5</v>
      </c>
      <c r="J11">
        <v>30</v>
      </c>
      <c r="K11">
        <v>59</v>
      </c>
    </row>
    <row r="12" spans="1:11">
      <c r="A12" s="14" t="s">
        <v>99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 s="22">
        <v>0</v>
      </c>
      <c r="I12" s="1">
        <f t="shared" si="0"/>
        <v>5</v>
      </c>
      <c r="J12">
        <v>80</v>
      </c>
      <c r="K12">
        <v>76</v>
      </c>
    </row>
    <row r="13" spans="1:11">
      <c r="A13" s="14" t="s">
        <v>84</v>
      </c>
      <c r="B13">
        <v>0</v>
      </c>
      <c r="C13">
        <v>0</v>
      </c>
      <c r="D13">
        <v>1</v>
      </c>
      <c r="E13">
        <v>1</v>
      </c>
      <c r="F13">
        <v>0</v>
      </c>
      <c r="G13">
        <v>0</v>
      </c>
      <c r="H13">
        <v>3</v>
      </c>
      <c r="I13" s="1">
        <f t="shared" si="0"/>
        <v>5</v>
      </c>
      <c r="J13">
        <v>32</v>
      </c>
    </row>
    <row r="14" spans="1:11">
      <c r="A14" s="14" t="s">
        <v>87</v>
      </c>
      <c r="B14">
        <v>0</v>
      </c>
      <c r="C14">
        <v>0</v>
      </c>
      <c r="D14">
        <v>1</v>
      </c>
      <c r="E14">
        <v>0</v>
      </c>
      <c r="F14">
        <v>1</v>
      </c>
      <c r="G14">
        <v>1</v>
      </c>
      <c r="H14">
        <v>1</v>
      </c>
      <c r="I14" s="1">
        <f t="shared" si="0"/>
        <v>4</v>
      </c>
      <c r="J14">
        <v>42</v>
      </c>
      <c r="K14">
        <v>37</v>
      </c>
    </row>
    <row r="15" spans="1:11">
      <c r="A15" s="14" t="s">
        <v>97</v>
      </c>
      <c r="B15">
        <v>1</v>
      </c>
      <c r="C15">
        <v>1</v>
      </c>
      <c r="D15">
        <v>1</v>
      </c>
      <c r="E15">
        <v>0</v>
      </c>
      <c r="F15">
        <v>1</v>
      </c>
      <c r="G15">
        <v>0</v>
      </c>
      <c r="H15" s="22">
        <v>0</v>
      </c>
      <c r="I15" s="1">
        <f t="shared" si="0"/>
        <v>4</v>
      </c>
      <c r="J15">
        <v>32</v>
      </c>
      <c r="K15">
        <v>22</v>
      </c>
    </row>
    <row r="16" spans="1:11">
      <c r="A16" s="14" t="s">
        <v>92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2</v>
      </c>
      <c r="I16" s="1">
        <f t="shared" si="0"/>
        <v>4</v>
      </c>
      <c r="J16">
        <v>56</v>
      </c>
      <c r="K16">
        <v>75</v>
      </c>
    </row>
    <row r="17" spans="1:11">
      <c r="A17" s="14" t="s">
        <v>103</v>
      </c>
      <c r="B17">
        <v>1</v>
      </c>
      <c r="C17">
        <v>0</v>
      </c>
      <c r="D17">
        <v>1</v>
      </c>
      <c r="E17">
        <v>0</v>
      </c>
      <c r="F17">
        <v>0</v>
      </c>
      <c r="G17">
        <v>1</v>
      </c>
      <c r="H17">
        <v>0</v>
      </c>
      <c r="I17" s="1">
        <f t="shared" si="0"/>
        <v>3</v>
      </c>
      <c r="J17">
        <v>86</v>
      </c>
      <c r="K17">
        <v>28</v>
      </c>
    </row>
    <row r="18" spans="1:11">
      <c r="A18" s="14" t="s">
        <v>101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 s="1">
        <f t="shared" si="0"/>
        <v>2</v>
      </c>
      <c r="J18">
        <v>4</v>
      </c>
      <c r="K18">
        <v>38</v>
      </c>
    </row>
    <row r="19" spans="1:11">
      <c r="A19" s="14"/>
      <c r="I19" s="1"/>
    </row>
    <row r="20" spans="1:11">
      <c r="A20" s="2" t="s">
        <v>198</v>
      </c>
      <c r="I20" s="2">
        <f>AVERAGE(I3:I18)</f>
        <v>6.5625</v>
      </c>
      <c r="J20" s="2">
        <f>AVERAGE(J3:J18)</f>
        <v>43.8125</v>
      </c>
      <c r="K20" s="2">
        <f>AVERAGE(K3:K18)</f>
        <v>44.466666666666669</v>
      </c>
    </row>
    <row r="21" spans="1:11">
      <c r="I21" s="1">
        <f>SUM(I3:I18)</f>
        <v>105</v>
      </c>
    </row>
  </sheetData>
  <autoFilter ref="A2:K18" xr:uid="{A8313C60-B892-47D0-8769-BDF9BDC55725}">
    <sortState xmlns:xlrd2="http://schemas.microsoft.com/office/spreadsheetml/2017/richdata2" ref="A3:K18">
      <sortCondition descending="1" ref="I2:I18"/>
    </sortState>
  </autoFilter>
  <sortState xmlns:xlrd2="http://schemas.microsoft.com/office/spreadsheetml/2017/richdata2" ref="A3:K18">
    <sortCondition ref="A3:A1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6C368-E455-4E37-81C1-035A0FA94535}">
  <dimension ref="A1:X31"/>
  <sheetViews>
    <sheetView zoomScale="120" zoomScaleNormal="120" workbookViewId="0">
      <selection activeCell="A4" sqref="A4"/>
    </sheetView>
  </sheetViews>
  <sheetFormatPr defaultRowHeight="14.45"/>
  <cols>
    <col min="1" max="1" width="13.85546875" bestFit="1" customWidth="1"/>
    <col min="2" max="2" width="8.7109375" customWidth="1"/>
    <col min="3" max="3" width="15.85546875" bestFit="1" customWidth="1"/>
    <col min="4" max="4" width="15.85546875" customWidth="1"/>
    <col min="5" max="5" width="9.28515625" bestFit="1" customWidth="1"/>
    <col min="6" max="6" width="9.5703125" bestFit="1" customWidth="1"/>
    <col min="7" max="7" width="12.28515625" bestFit="1" customWidth="1"/>
    <col min="8" max="8" width="10" bestFit="1" customWidth="1"/>
    <col min="9" max="9" width="13.28515625" bestFit="1" customWidth="1"/>
    <col min="12" max="13" width="11.85546875" bestFit="1" customWidth="1"/>
    <col min="14" max="14" width="13.28515625" bestFit="1" customWidth="1"/>
    <col min="15" max="15" width="12.42578125" bestFit="1" customWidth="1"/>
    <col min="16" max="16" width="12.5703125" bestFit="1" customWidth="1"/>
    <col min="17" max="17" width="12.5703125" customWidth="1"/>
    <col min="18" max="18" width="14.85546875" bestFit="1" customWidth="1"/>
    <col min="19" max="19" width="16" bestFit="1" customWidth="1"/>
    <col min="20" max="20" width="16.42578125" bestFit="1" customWidth="1"/>
  </cols>
  <sheetData>
    <row r="1" spans="1:24">
      <c r="A1" s="2" t="s">
        <v>187</v>
      </c>
      <c r="B1" s="2" t="s">
        <v>199</v>
      </c>
      <c r="C1" s="2" t="s">
        <v>200</v>
      </c>
      <c r="D1" s="2" t="s">
        <v>11</v>
      </c>
      <c r="E1" s="2" t="s">
        <v>201</v>
      </c>
      <c r="F1" s="2" t="s">
        <v>202</v>
      </c>
      <c r="G1" s="2" t="s">
        <v>203</v>
      </c>
      <c r="H1" s="2" t="s">
        <v>204</v>
      </c>
      <c r="I1" s="2" t="s">
        <v>205</v>
      </c>
      <c r="J1" s="2" t="s">
        <v>206</v>
      </c>
      <c r="K1" s="2" t="s">
        <v>202</v>
      </c>
      <c r="L1" s="2" t="s">
        <v>207</v>
      </c>
      <c r="M1" s="2" t="s">
        <v>208</v>
      </c>
      <c r="N1" s="2" t="s">
        <v>209</v>
      </c>
      <c r="O1" s="2" t="s">
        <v>210</v>
      </c>
      <c r="P1" s="2" t="s">
        <v>211</v>
      </c>
      <c r="Q1" s="2"/>
      <c r="R1" s="2" t="s">
        <v>212</v>
      </c>
      <c r="S1" s="2" t="s">
        <v>213</v>
      </c>
      <c r="T1" s="2" t="s">
        <v>214</v>
      </c>
      <c r="U1" s="2" t="s">
        <v>215</v>
      </c>
      <c r="V1" s="2" t="s">
        <v>216</v>
      </c>
      <c r="W1" s="2" t="s">
        <v>217</v>
      </c>
      <c r="X1" s="2" t="s">
        <v>218</v>
      </c>
    </row>
    <row r="2" spans="1:24">
      <c r="A2" t="str">
        <f>'Individual Stats'!A3</f>
        <v>Daniel</v>
      </c>
      <c r="B2" s="24">
        <f t="shared" ref="B2:B17" si="0">T2+V2+X2+N2+I2+Q2</f>
        <v>92.430084109730842</v>
      </c>
      <c r="C2" t="str">
        <f>VLOOKUP("*"&amp;A2&amp;"*",'Team Stats'!$A$2:$A$9,1,FALSE)</f>
        <v>Daniel/David</v>
      </c>
      <c r="D2" s="23" t="s">
        <v>113</v>
      </c>
      <c r="E2">
        <f>VLOOKUP($C2,'Team Stats'!$A$2:$G$9,5,FALSE)</f>
        <v>37.98714285714285</v>
      </c>
      <c r="F2">
        <f>VLOOKUP($A2,'Individual Stats'!$A$3:$K$18,10,FALSE)+VLOOKUP($D2,'Individual Stats'!$A$3:$K$18,10,FALSE)</f>
        <v>71</v>
      </c>
      <c r="G2">
        <f>VLOOKUP($A2,'Individual Stats'!$A$3:$K$18,10,FALSE)/F2</f>
        <v>0.57746478873239437</v>
      </c>
      <c r="H2">
        <f t="shared" ref="H2:H17" si="1">E2*MAX(R2,0.5)</f>
        <v>29.729068322981362</v>
      </c>
      <c r="I2">
        <f t="shared" ref="I2:I18" si="2">H2*$B$27</f>
        <v>29.729068322981362</v>
      </c>
      <c r="J2">
        <f>VLOOKUP($C2,'Team Stats'!$A$2:$G$9,7,FALSE)</f>
        <v>27.037142857142857</v>
      </c>
      <c r="K2">
        <f>VLOOKUP($A2,'Individual Stats'!$A$3:$K$18,11,FALSE)+VLOOKUP($D2,'Individual Stats'!$A$3:$K$18,11,FALSE)</f>
        <v>109</v>
      </c>
      <c r="L2">
        <f>VLOOKUP($A2,'Individual Stats'!$A$3:$K$18,11,FALSE)/K2</f>
        <v>0.45871559633027525</v>
      </c>
      <c r="M2">
        <f t="shared" ref="M2:M17" si="3">J2*MAX(R2,0.5)</f>
        <v>21.159503105590062</v>
      </c>
      <c r="N2">
        <f t="shared" ref="N2:N18" si="4">M2*$B$28</f>
        <v>26.449378881987577</v>
      </c>
      <c r="O2">
        <f>VLOOKUP($C2,'Team Stats'!$A$2:$G$9,6,FALSE)</f>
        <v>1.3800000000000001</v>
      </c>
      <c r="P2">
        <f>VLOOKUP($A2,'Individual Stats'!$A$3:$I$18,9,FALSE)+VLOOKUP($D2,'Individual Stats'!$A$3:$I$18,9,FALSE)</f>
        <v>23</v>
      </c>
      <c r="Q2">
        <f t="shared" ref="Q2:Q17" si="5">S2/$S$18*50</f>
        <v>8.5714285714285712</v>
      </c>
      <c r="R2">
        <f>VLOOKUP($A2,'Individual Stats'!$A$3:$I$18,9,FALSE)/P2</f>
        <v>0.78260869565217395</v>
      </c>
      <c r="S2">
        <f t="shared" ref="S2:S17" si="6">P2*R2</f>
        <v>18</v>
      </c>
      <c r="T2">
        <f t="shared" ref="T2:T17" si="7">O2*$B$29*MAX(R2,0.5)</f>
        <v>27</v>
      </c>
      <c r="U2">
        <f>VLOOKUP($A2,'Individual Stats'!$A$3:$K$18,10,FALSE)-'Individual Stats'!$J$20</f>
        <v>-2.8125</v>
      </c>
      <c r="V2">
        <f t="shared" ref="V2:V17" si="8">U2*$B$30</f>
        <v>-0.703125</v>
      </c>
      <c r="W2">
        <f>VLOOKUP($A2,'Individual Stats'!$A$3:$K$18,11,FALSE)-'Individual Stats'!$K$20</f>
        <v>5.5333333333333314</v>
      </c>
      <c r="X2">
        <f t="shared" ref="X2:X17" si="9">W2*$B$31</f>
        <v>1.3833333333333329</v>
      </c>
    </row>
    <row r="3" spans="1:24">
      <c r="A3" t="str">
        <f>'Individual Stats'!A6</f>
        <v>Tayven</v>
      </c>
      <c r="B3" s="24">
        <f t="shared" si="0"/>
        <v>77.708017857142863</v>
      </c>
      <c r="C3" t="str">
        <f>VLOOKUP("*"&amp;A3&amp;"*",'Team Stats'!$A$2:$A$9,1,FALSE)</f>
        <v>Tayven/Tony</v>
      </c>
      <c r="D3" s="23" t="s">
        <v>101</v>
      </c>
      <c r="E3">
        <f>VLOOKUP($C3,'Team Stats'!$A$2:$G$9,5,FALSE)</f>
        <v>31.537142857142861</v>
      </c>
      <c r="F3">
        <f>VLOOKUP($A3,'Individual Stats'!$A$3:$K$18,10,FALSE)+VLOOKUP($D3,'Individual Stats'!$A$3:$K$18,10,FALSE)</f>
        <v>52</v>
      </c>
      <c r="G3">
        <f>VLOOKUP($A3,'Individual Stats'!$A$3:$K$18,10,FALSE)/F3</f>
        <v>0.92307692307692313</v>
      </c>
      <c r="H3">
        <f t="shared" si="1"/>
        <v>25.229714285714291</v>
      </c>
      <c r="I3">
        <f t="shared" si="2"/>
        <v>25.229714285714291</v>
      </c>
      <c r="J3">
        <f>VLOOKUP($C3,'Team Stats'!$A$2:$G$9,7,FALSE)</f>
        <v>21.324285714285715</v>
      </c>
      <c r="K3">
        <f>VLOOKUP($A3,'Individual Stats'!$A$3:$K$18,11,FALSE)+VLOOKUP($D3,'Individual Stats'!$A$3:$K$18,11,FALSE)</f>
        <v>90</v>
      </c>
      <c r="L3">
        <f>VLOOKUP($A3,'Individual Stats'!$A$3:$K$18,11,FALSE)/K3</f>
        <v>0.57777777777777772</v>
      </c>
      <c r="M3">
        <f t="shared" si="3"/>
        <v>17.059428571428572</v>
      </c>
      <c r="N3">
        <f t="shared" si="4"/>
        <v>21.324285714285715</v>
      </c>
      <c r="O3">
        <f>VLOOKUP($C3,'Team Stats'!$A$2:$G$9,6,FALSE)</f>
        <v>1.2207142857142854</v>
      </c>
      <c r="P3">
        <f>VLOOKUP($A3,'Individual Stats'!$A$3:$I$18,9,FALSE)+VLOOKUP($D3,'Individual Stats'!$A$3:$I$18,9,FALSE)</f>
        <v>10</v>
      </c>
      <c r="Q3">
        <f t="shared" si="5"/>
        <v>3.8095238095238098</v>
      </c>
      <c r="R3">
        <f>VLOOKUP($A3,'Individual Stats'!$A$3:$I$18,9,FALSE)/P3</f>
        <v>0.8</v>
      </c>
      <c r="S3">
        <f t="shared" si="6"/>
        <v>8</v>
      </c>
      <c r="T3">
        <f t="shared" si="7"/>
        <v>24.414285714285711</v>
      </c>
      <c r="U3">
        <f>VLOOKUP($A3,'Individual Stats'!$A$3:$K$18,10,FALSE)-'Individual Stats'!$J$20</f>
        <v>4.1875</v>
      </c>
      <c r="V3">
        <f t="shared" si="8"/>
        <v>1.046875</v>
      </c>
      <c r="W3">
        <f>VLOOKUP($A3,'Individual Stats'!$A$3:$K$18,11,FALSE)-'Individual Stats'!$K$20</f>
        <v>7.5333333333333314</v>
      </c>
      <c r="X3">
        <f t="shared" si="9"/>
        <v>1.8833333333333329</v>
      </c>
    </row>
    <row r="4" spans="1:24">
      <c r="A4" t="str">
        <f>'Individual Stats'!A10</f>
        <v>Brian</v>
      </c>
      <c r="B4" s="24">
        <f t="shared" si="0"/>
        <v>72.337351190476198</v>
      </c>
      <c r="C4" t="str">
        <f>VLOOKUP("*"&amp;A4&amp;"*",'Team Stats'!$A$2:$A$9,1,FALSE)</f>
        <v>Brian/Olver</v>
      </c>
      <c r="D4" s="23" t="s">
        <v>103</v>
      </c>
      <c r="E4">
        <f>VLOOKUP($C4,'Team Stats'!$A$2:$G$9,5,FALSE)</f>
        <v>31.292857142857144</v>
      </c>
      <c r="F4">
        <f>VLOOKUP($A4,'Individual Stats'!$A$3:$K$18,10,FALSE)+VLOOKUP($D4,'Individual Stats'!$A$3:$K$18,10,FALSE)</f>
        <v>118</v>
      </c>
      <c r="G4">
        <f>VLOOKUP($A4,'Individual Stats'!$A$3:$K$18,10,FALSE)/F4</f>
        <v>0.2711864406779661</v>
      </c>
      <c r="H4">
        <f t="shared" si="1"/>
        <v>20.861904761904761</v>
      </c>
      <c r="I4">
        <f t="shared" si="2"/>
        <v>20.861904761904761</v>
      </c>
      <c r="J4">
        <f>VLOOKUP($C4,'Team Stats'!$A$2:$G$9,7,FALSE)</f>
        <v>25.868571428571432</v>
      </c>
      <c r="K4">
        <f>VLOOKUP($A4,'Individual Stats'!$A$3:$K$18,11,FALSE)+VLOOKUP($D4,'Individual Stats'!$A$3:$K$18,11,FALSE)</f>
        <v>111</v>
      </c>
      <c r="L4">
        <f>VLOOKUP($A4,'Individual Stats'!$A$3:$K$18,11,FALSE)/K4</f>
        <v>0.74774774774774777</v>
      </c>
      <c r="M4">
        <f t="shared" si="3"/>
        <v>17.245714285714286</v>
      </c>
      <c r="N4">
        <f t="shared" si="4"/>
        <v>21.557142857142857</v>
      </c>
      <c r="O4">
        <f>VLOOKUP($C4,'Team Stats'!$A$2:$G$9,6,FALSE)</f>
        <v>1.2228571428571429</v>
      </c>
      <c r="P4">
        <f>VLOOKUP($A4,'Individual Stats'!$A$3:$I$18,9,FALSE)+VLOOKUP($D4,'Individual Stats'!$A$3:$I$18,9,FALSE)</f>
        <v>9</v>
      </c>
      <c r="Q4">
        <f t="shared" si="5"/>
        <v>2.8571428571428572</v>
      </c>
      <c r="R4">
        <f>VLOOKUP($A4,'Individual Stats'!$A$3:$I$18,9,FALSE)/P4</f>
        <v>0.66666666666666663</v>
      </c>
      <c r="S4">
        <f t="shared" si="6"/>
        <v>6</v>
      </c>
      <c r="T4">
        <f t="shared" si="7"/>
        <v>20.38095238095238</v>
      </c>
      <c r="U4">
        <f>VLOOKUP($A4,'Individual Stats'!$A$3:$K$18,10,FALSE)-'Individual Stats'!$J$20</f>
        <v>-11.8125</v>
      </c>
      <c r="V4">
        <f t="shared" si="8"/>
        <v>-2.953125</v>
      </c>
      <c r="W4">
        <f>VLOOKUP($A4,'Individual Stats'!$A$3:$K$18,11,FALSE)-'Individual Stats'!$K$20</f>
        <v>38.533333333333331</v>
      </c>
      <c r="X4">
        <f t="shared" si="9"/>
        <v>9.6333333333333329</v>
      </c>
    </row>
    <row r="5" spans="1:24">
      <c r="A5" t="str">
        <f>'Individual Stats'!A12</f>
        <v>Jason</v>
      </c>
      <c r="B5" s="24">
        <f t="shared" si="0"/>
        <v>70.691517857142856</v>
      </c>
      <c r="C5" t="str">
        <f>VLOOKUP("*"&amp;A5&amp;"*",'Team Stats'!$A$2:$A$9,1,FALSE)</f>
        <v>Jason/Mike A</v>
      </c>
      <c r="D5" s="23" t="s">
        <v>57</v>
      </c>
      <c r="E5">
        <f>VLOOKUP($C5,'Team Stats'!$A$2:$G$9,5,FALSE)</f>
        <v>33.896428571428572</v>
      </c>
      <c r="F5">
        <f>VLOOKUP($A5,'Individual Stats'!$A$3:$K$18,10,FALSE)+VLOOKUP($D5,'Individual Stats'!$A$3:$K$18,10,FALSE)</f>
        <v>110</v>
      </c>
      <c r="G5">
        <f>VLOOKUP($A5,'Individual Stats'!$A$3:$K$18,10,FALSE)/F5</f>
        <v>0.72727272727272729</v>
      </c>
      <c r="H5">
        <f t="shared" si="1"/>
        <v>16.948214285714286</v>
      </c>
      <c r="I5">
        <f t="shared" si="2"/>
        <v>16.948214285714286</v>
      </c>
      <c r="J5">
        <f>VLOOKUP($C5,'Team Stats'!$A$2:$G$9,7,FALSE)</f>
        <v>28.32</v>
      </c>
      <c r="K5">
        <f>VLOOKUP($A5,'Individual Stats'!$A$3:$K$18,11,FALSE)+VLOOKUP($D5,'Individual Stats'!$A$3:$K$18,11,FALSE)</f>
        <v>108</v>
      </c>
      <c r="L5">
        <f>VLOOKUP($A5,'Individual Stats'!$A$3:$K$18,11,FALSE)/K5</f>
        <v>0.70370370370370372</v>
      </c>
      <c r="M5">
        <f t="shared" si="3"/>
        <v>14.16</v>
      </c>
      <c r="N5">
        <f t="shared" si="4"/>
        <v>17.7</v>
      </c>
      <c r="O5">
        <f>VLOOKUP($C5,'Team Stats'!$A$2:$G$9,6,FALSE)</f>
        <v>1.3385714285714285</v>
      </c>
      <c r="P5">
        <f>VLOOKUP($A5,'Individual Stats'!$A$3:$I$18,9,FALSE)+VLOOKUP($D5,'Individual Stats'!$A$3:$I$18,9,FALSE)</f>
        <v>14</v>
      </c>
      <c r="Q5">
        <f t="shared" si="5"/>
        <v>2.3809523809523809</v>
      </c>
      <c r="R5">
        <f>VLOOKUP($A5,'Individual Stats'!$A$3:$I$18,9,FALSE)/P5</f>
        <v>0.35714285714285715</v>
      </c>
      <c r="S5">
        <f t="shared" si="6"/>
        <v>5</v>
      </c>
      <c r="T5">
        <f t="shared" si="7"/>
        <v>16.732142857142858</v>
      </c>
      <c r="U5">
        <f>VLOOKUP($A5,'Individual Stats'!$A$3:$K$18,10,FALSE)-'Individual Stats'!$J$20</f>
        <v>36.1875</v>
      </c>
      <c r="V5">
        <f t="shared" si="8"/>
        <v>9.046875</v>
      </c>
      <c r="W5">
        <f>VLOOKUP($A5,'Individual Stats'!$A$3:$K$18,11,FALSE)-'Individual Stats'!$K$20</f>
        <v>31.533333333333331</v>
      </c>
      <c r="X5">
        <f t="shared" si="9"/>
        <v>7.8833333333333329</v>
      </c>
    </row>
    <row r="6" spans="1:24">
      <c r="A6" t="str">
        <f>'Individual Stats'!A7</f>
        <v>Kevin</v>
      </c>
      <c r="B6" s="24">
        <f t="shared" si="0"/>
        <v>67.357827380952372</v>
      </c>
      <c r="C6" t="str">
        <f>VLOOKUP("*"&amp;A6&amp;"*",'Team Stats'!$A$2:$A$9,1,FALSE)</f>
        <v>Kevin/Paul</v>
      </c>
      <c r="D6" s="23" t="s">
        <v>94</v>
      </c>
      <c r="E6">
        <f>VLOOKUP($C6,'Team Stats'!$A$2:$G$9,5,FALSE)</f>
        <v>34.702857142857148</v>
      </c>
      <c r="F6">
        <f>VLOOKUP($A6,'Individual Stats'!$A$3:$K$18,10,FALSE)+VLOOKUP($D6,'Individual Stats'!$A$3:$K$18,10,FALSE)</f>
        <v>124</v>
      </c>
      <c r="G6">
        <f>VLOOKUP($A6,'Individual Stats'!$A$3:$K$18,10,FALSE)/F6</f>
        <v>0.74193548387096775</v>
      </c>
      <c r="H6">
        <f t="shared" si="1"/>
        <v>17.351428571428574</v>
      </c>
      <c r="I6">
        <f t="shared" si="2"/>
        <v>17.351428571428574</v>
      </c>
      <c r="J6">
        <f>VLOOKUP($C6,'Team Stats'!$A$2:$G$9,7,FALSE)</f>
        <v>27.345714285714283</v>
      </c>
      <c r="K6">
        <f>VLOOKUP($A6,'Individual Stats'!$A$3:$K$18,11,FALSE)+VLOOKUP($D6,'Individual Stats'!$A$3:$K$18,11,FALSE)</f>
        <v>61</v>
      </c>
      <c r="L6">
        <f>VLOOKUP($A6,'Individual Stats'!$A$3:$K$18,11,FALSE)/K6</f>
        <v>0.67213114754098358</v>
      </c>
      <c r="M6">
        <f t="shared" si="3"/>
        <v>13.672857142857142</v>
      </c>
      <c r="N6">
        <f t="shared" si="4"/>
        <v>17.091071428571428</v>
      </c>
      <c r="O6">
        <f>VLOOKUP($C6,'Team Stats'!$A$2:$G$9,6,FALSE)</f>
        <v>1.4721428571428572</v>
      </c>
      <c r="P6">
        <f>VLOOKUP($A6,'Individual Stats'!$A$3:$I$18,9,FALSE)+VLOOKUP($D6,'Individual Stats'!$A$3:$I$18,9,FALSE)</f>
        <v>14</v>
      </c>
      <c r="Q6">
        <f t="shared" si="5"/>
        <v>3.3333333333333335</v>
      </c>
      <c r="R6">
        <f>VLOOKUP($A6,'Individual Stats'!$A$3:$I$18,9,FALSE)/P6</f>
        <v>0.5</v>
      </c>
      <c r="S6">
        <f t="shared" si="6"/>
        <v>7</v>
      </c>
      <c r="T6">
        <f t="shared" si="7"/>
        <v>18.401785714285715</v>
      </c>
      <c r="U6">
        <f>VLOOKUP($A6,'Individual Stats'!$A$3:$K$18,10,FALSE)-'Individual Stats'!$J$20</f>
        <v>48.1875</v>
      </c>
      <c r="V6">
        <f t="shared" si="8"/>
        <v>12.046875</v>
      </c>
      <c r="W6">
        <f>VLOOKUP($A6,'Individual Stats'!$A$3:$K$18,11,FALSE)-'Individual Stats'!$K$20</f>
        <v>-3.4666666666666686</v>
      </c>
      <c r="X6">
        <f t="shared" si="9"/>
        <v>-0.86666666666666714</v>
      </c>
    </row>
    <row r="7" spans="1:24">
      <c r="A7" t="str">
        <f>'Individual Stats'!A8</f>
        <v>Mike H</v>
      </c>
      <c r="B7" s="24">
        <f t="shared" si="0"/>
        <v>65.272859848484842</v>
      </c>
      <c r="C7" t="str">
        <f>VLOOKUP("*"&amp;A7&amp;"*",'Team Stats'!$A$2:$A$9,1,FALSE)</f>
        <v>Clarence/Mike H</v>
      </c>
      <c r="D7" s="23" t="s">
        <v>87</v>
      </c>
      <c r="E7">
        <f>VLOOKUP($C7,'Team Stats'!$A$2:$G$9,5,FALSE)</f>
        <v>36.184285714285714</v>
      </c>
      <c r="F7">
        <f>VLOOKUP($A7,'Individual Stats'!$A$3:$K$18,10,FALSE)+VLOOKUP($D7,'Individual Stats'!$A$3:$K$18,10,FALSE)</f>
        <v>76</v>
      </c>
      <c r="G7">
        <f>VLOOKUP($A7,'Individual Stats'!$A$3:$K$18,10,FALSE)/F7</f>
        <v>0.44736842105263158</v>
      </c>
      <c r="H7">
        <f t="shared" si="1"/>
        <v>23.026363636363637</v>
      </c>
      <c r="I7">
        <f t="shared" si="2"/>
        <v>23.026363636363637</v>
      </c>
      <c r="J7">
        <f>VLOOKUP($C7,'Team Stats'!$A$2:$G$9,7,FALSE)</f>
        <v>27.564285714285713</v>
      </c>
      <c r="K7">
        <f>VLOOKUP($A7,'Individual Stats'!$A$3:$K$18,11,FALSE)+VLOOKUP($D7,'Individual Stats'!$A$3:$K$18,11,FALSE)</f>
        <v>77</v>
      </c>
      <c r="L7">
        <f>VLOOKUP($A7,'Individual Stats'!$A$3:$K$18,11,FALSE)/K7</f>
        <v>0.51948051948051943</v>
      </c>
      <c r="M7">
        <f t="shared" si="3"/>
        <v>17.540909090909089</v>
      </c>
      <c r="N7">
        <f t="shared" si="4"/>
        <v>21.92613636363636</v>
      </c>
      <c r="O7">
        <f>VLOOKUP($C7,'Team Stats'!$A$2:$G$9,6,FALSE)</f>
        <v>1.292142857142857</v>
      </c>
      <c r="P7">
        <f>VLOOKUP($A7,'Individual Stats'!$A$3:$I$18,9,FALSE)+VLOOKUP($D7,'Individual Stats'!$A$3:$I$18,9,FALSE)</f>
        <v>11</v>
      </c>
      <c r="Q7">
        <f t="shared" si="5"/>
        <v>3.3333333333333335</v>
      </c>
      <c r="R7">
        <f>VLOOKUP($A7,'Individual Stats'!$A$3:$I$18,9,FALSE)/P7</f>
        <v>0.63636363636363635</v>
      </c>
      <c r="S7">
        <f t="shared" si="6"/>
        <v>7</v>
      </c>
      <c r="T7">
        <f t="shared" si="7"/>
        <v>20.55681818181818</v>
      </c>
      <c r="U7">
        <f>VLOOKUP($A7,'Individual Stats'!$A$3:$K$18,10,FALSE)-'Individual Stats'!$J$20</f>
        <v>-9.8125</v>
      </c>
      <c r="V7">
        <f t="shared" si="8"/>
        <v>-2.453125</v>
      </c>
      <c r="W7">
        <f>VLOOKUP($A7,'Individual Stats'!$A$3:$K$18,11,FALSE)-'Individual Stats'!$K$20</f>
        <v>-4.4666666666666686</v>
      </c>
      <c r="X7">
        <f t="shared" si="9"/>
        <v>-1.1166666666666671</v>
      </c>
    </row>
    <row r="8" spans="1:24">
      <c r="A8" t="str">
        <f>'Individual Stats'!A5</f>
        <v>Mike A</v>
      </c>
      <c r="B8" s="24">
        <f t="shared" si="0"/>
        <v>63.77638180272109</v>
      </c>
      <c r="C8" t="str">
        <f>VLOOKUP("*"&amp;A8&amp;"*",'Team Stats'!$A$2:$A$9,1,FALSE)</f>
        <v>Jason/Mike A</v>
      </c>
      <c r="D8" s="23" t="s">
        <v>99</v>
      </c>
      <c r="E8">
        <f>VLOOKUP($C8,'Team Stats'!$A$2:$G$9,5,FALSE)</f>
        <v>33.896428571428572</v>
      </c>
      <c r="F8">
        <f>VLOOKUP($A8,'Individual Stats'!$A$3:$K$18,10,FALSE)+VLOOKUP($D8,'Individual Stats'!$A$3:$K$18,10,FALSE)</f>
        <v>110</v>
      </c>
      <c r="G8">
        <f>VLOOKUP($A8,'Individual Stats'!$A$3:$K$18,10,FALSE)/F8</f>
        <v>0.27272727272727271</v>
      </c>
      <c r="H8">
        <f t="shared" si="1"/>
        <v>21.790561224489799</v>
      </c>
      <c r="I8">
        <f t="shared" si="2"/>
        <v>21.790561224489799</v>
      </c>
      <c r="J8">
        <f>VLOOKUP($C8,'Team Stats'!$A$2:$G$9,7,FALSE)</f>
        <v>28.32</v>
      </c>
      <c r="K8">
        <f>VLOOKUP($A8,'Individual Stats'!$A$3:$K$18,11,FALSE)+VLOOKUP($D8,'Individual Stats'!$A$3:$K$18,11,FALSE)</f>
        <v>108</v>
      </c>
      <c r="L8">
        <f>VLOOKUP($A8,'Individual Stats'!$A$3:$K$18,11,FALSE)/K8</f>
        <v>0.29629629629629628</v>
      </c>
      <c r="M8">
        <f t="shared" si="3"/>
        <v>18.205714285714286</v>
      </c>
      <c r="N8">
        <f t="shared" si="4"/>
        <v>22.75714285714286</v>
      </c>
      <c r="O8">
        <f>VLOOKUP($C8,'Team Stats'!$A$2:$G$9,6,FALSE)</f>
        <v>1.3385714285714285</v>
      </c>
      <c r="P8">
        <f>VLOOKUP($A8,'Individual Stats'!$A$3:$I$18,9,FALSE)+VLOOKUP($D8,'Individual Stats'!$A$3:$I$18,9,FALSE)</f>
        <v>14</v>
      </c>
      <c r="Q8">
        <f t="shared" si="5"/>
        <v>4.2857142857142856</v>
      </c>
      <c r="R8">
        <f>VLOOKUP($A8,'Individual Stats'!$A$3:$I$18,9,FALSE)/P8</f>
        <v>0.6428571428571429</v>
      </c>
      <c r="S8">
        <f t="shared" si="6"/>
        <v>9</v>
      </c>
      <c r="T8">
        <f t="shared" si="7"/>
        <v>21.512755102040817</v>
      </c>
      <c r="U8">
        <f>VLOOKUP($A8,'Individual Stats'!$A$3:$K$18,10,FALSE)-'Individual Stats'!$J$20</f>
        <v>-13.8125</v>
      </c>
      <c r="V8">
        <f t="shared" si="8"/>
        <v>-3.453125</v>
      </c>
      <c r="W8">
        <f>VLOOKUP($A8,'Individual Stats'!$A$3:$K$18,11,FALSE)-'Individual Stats'!$K$20</f>
        <v>-12.466666666666669</v>
      </c>
      <c r="X8">
        <f t="shared" si="9"/>
        <v>-3.1166666666666671</v>
      </c>
    </row>
    <row r="9" spans="1:24">
      <c r="A9" t="str">
        <f>'Individual Stats'!A4</f>
        <v>Mark</v>
      </c>
      <c r="B9" s="24">
        <f t="shared" si="0"/>
        <v>62.022851190476189</v>
      </c>
      <c r="C9" t="str">
        <f>VLOOKUP("*"&amp;A9&amp;"*",'Team Stats'!$A$2:$A$9,1,FALSE)</f>
        <v>Mark/Neil</v>
      </c>
      <c r="D9" s="23" t="s">
        <v>97</v>
      </c>
      <c r="E9">
        <f>VLOOKUP($C9,'Team Stats'!$A$2:$G$9,5,FALSE)</f>
        <v>34.491428571428571</v>
      </c>
      <c r="F9">
        <f>VLOOKUP($A9,'Individual Stats'!$A$3:$K$18,10,FALSE)+VLOOKUP($D9,'Individual Stats'!$A$3:$K$18,10,FALSE)</f>
        <v>62</v>
      </c>
      <c r="G9">
        <f>VLOOKUP($A9,'Individual Stats'!$A$3:$K$18,10,FALSE)/F9</f>
        <v>0.4838709677419355</v>
      </c>
      <c r="H9">
        <f t="shared" si="1"/>
        <v>25.293714285714284</v>
      </c>
      <c r="I9">
        <f t="shared" si="2"/>
        <v>25.293714285714284</v>
      </c>
      <c r="J9">
        <f>VLOOKUP($C9,'Team Stats'!$A$2:$G$9,7,FALSE)</f>
        <v>23.158571428571431</v>
      </c>
      <c r="K9">
        <f>VLOOKUP($A9,'Individual Stats'!$A$3:$K$18,11,FALSE)+VLOOKUP($D9,'Individual Stats'!$A$3:$K$18,11,FALSE)</f>
        <v>36</v>
      </c>
      <c r="L9">
        <f>VLOOKUP($A9,'Individual Stats'!$A$3:$K$18,11,FALSE)/K9</f>
        <v>0.3888888888888889</v>
      </c>
      <c r="M9">
        <f t="shared" si="3"/>
        <v>16.98295238095238</v>
      </c>
      <c r="N9">
        <f t="shared" si="4"/>
        <v>21.228690476190476</v>
      </c>
      <c r="O9">
        <f>VLOOKUP($C9,'Team Stats'!$A$2:$G$9,6,FALSE)</f>
        <v>1.1635714285714285</v>
      </c>
      <c r="P9">
        <f>VLOOKUP($A9,'Individual Stats'!$A$3:$I$18,9,FALSE)+VLOOKUP($D9,'Individual Stats'!$A$3:$I$18,9,FALSE)</f>
        <v>15</v>
      </c>
      <c r="Q9">
        <f t="shared" si="5"/>
        <v>5.2380952380952381</v>
      </c>
      <c r="R9">
        <f>VLOOKUP($A9,'Individual Stats'!$A$3:$I$18,9,FALSE)/P9</f>
        <v>0.73333333333333328</v>
      </c>
      <c r="S9">
        <f t="shared" si="6"/>
        <v>11</v>
      </c>
      <c r="T9">
        <f t="shared" si="7"/>
        <v>21.332142857142856</v>
      </c>
      <c r="U9">
        <f>VLOOKUP($A9,'Individual Stats'!$A$3:$K$18,10,FALSE)-'Individual Stats'!$J$20</f>
        <v>-13.8125</v>
      </c>
      <c r="V9">
        <f t="shared" si="8"/>
        <v>-3.453125</v>
      </c>
      <c r="W9">
        <f>VLOOKUP($A9,'Individual Stats'!$A$3:$K$18,11,FALSE)-'Individual Stats'!$K$20</f>
        <v>-30.466666666666669</v>
      </c>
      <c r="X9">
        <f t="shared" si="9"/>
        <v>-7.6166666666666671</v>
      </c>
    </row>
    <row r="10" spans="1:24">
      <c r="A10" t="str">
        <f>'Individual Stats'!A16</f>
        <v>Todd</v>
      </c>
      <c r="B10" s="24">
        <f t="shared" si="0"/>
        <v>59.706041666666671</v>
      </c>
      <c r="C10" t="str">
        <f>VLOOKUP("*"&amp;A10&amp;"*",'Team Stats'!$A$2:$A$9,1,FALSE)</f>
        <v>Todd/Mike C</v>
      </c>
      <c r="D10" s="23" t="s">
        <v>84</v>
      </c>
      <c r="E10">
        <f>VLOOKUP($C10,'Team Stats'!$A$2:$G$9,5,FALSE)</f>
        <v>31.767142857142854</v>
      </c>
      <c r="F10">
        <f>VLOOKUP($A10,'Individual Stats'!$A$3:$K$18,10,FALSE)+VLOOKUP($D10,'Individual Stats'!$A$3:$K$18,10,FALSE)</f>
        <v>88</v>
      </c>
      <c r="G10">
        <f>VLOOKUP($A10,'Individual Stats'!$A$3:$K$18,10,FALSE)/F10</f>
        <v>0.63636363636363635</v>
      </c>
      <c r="H10">
        <f t="shared" si="1"/>
        <v>15.883571428571427</v>
      </c>
      <c r="I10">
        <f t="shared" si="2"/>
        <v>15.883571428571427</v>
      </c>
      <c r="J10">
        <f>VLOOKUP($C10,'Team Stats'!$A$2:$G$9,7,FALSE)</f>
        <v>25.494285714285713</v>
      </c>
      <c r="K10">
        <f>VLOOKUP($A10,'Individual Stats'!$A$3:$K$18,11,FALSE)+VLOOKUP($D10,'Individual Stats'!$A$3:$K$18,11,FALSE)</f>
        <v>75</v>
      </c>
      <c r="L10">
        <f>VLOOKUP($A10,'Individual Stats'!$A$3:$K$18,11,FALSE)/K10</f>
        <v>1</v>
      </c>
      <c r="M10">
        <f t="shared" si="3"/>
        <v>12.747142857142856</v>
      </c>
      <c r="N10">
        <f t="shared" si="4"/>
        <v>15.93392857142857</v>
      </c>
      <c r="O10">
        <f>VLOOKUP($C10,'Team Stats'!$A$2:$G$9,6,FALSE)</f>
        <v>1.2242857142857144</v>
      </c>
      <c r="P10">
        <f>VLOOKUP($A10,'Individual Stats'!$A$3:$I$18,9,FALSE)+VLOOKUP($D10,'Individual Stats'!$A$3:$I$18,9,FALSE)</f>
        <v>9</v>
      </c>
      <c r="Q10">
        <f t="shared" si="5"/>
        <v>1.9047619047619049</v>
      </c>
      <c r="R10">
        <f>VLOOKUP($A10,'Individual Stats'!$A$3:$I$18,9,FALSE)/P10</f>
        <v>0.44444444444444442</v>
      </c>
      <c r="S10">
        <f t="shared" si="6"/>
        <v>4</v>
      </c>
      <c r="T10">
        <f t="shared" si="7"/>
        <v>15.303571428571431</v>
      </c>
      <c r="U10">
        <f>VLOOKUP($A10,'Individual Stats'!$A$3:$K$18,10,FALSE)-'Individual Stats'!$J$20</f>
        <v>12.1875</v>
      </c>
      <c r="V10">
        <f t="shared" si="8"/>
        <v>3.046875</v>
      </c>
      <c r="W10">
        <f>VLOOKUP($A10,'Individual Stats'!$A$3:$K$18,11,FALSE)-'Individual Stats'!$K$20</f>
        <v>30.533333333333331</v>
      </c>
      <c r="X10">
        <f t="shared" si="9"/>
        <v>7.6333333333333329</v>
      </c>
    </row>
    <row r="11" spans="1:24">
      <c r="A11" t="str">
        <f>'Individual Stats'!A11</f>
        <v>David</v>
      </c>
      <c r="B11" s="24">
        <f t="shared" si="0"/>
        <v>55.702946428571423</v>
      </c>
      <c r="C11" t="str">
        <f>VLOOKUP("*"&amp;A11&amp;"*",'Team Stats'!$A$2:$A$9,1,FALSE)</f>
        <v>Daniel/David</v>
      </c>
      <c r="D11" s="23" t="s">
        <v>89</v>
      </c>
      <c r="E11">
        <f>VLOOKUP($C11,'Team Stats'!$A$2:$G$9,5,FALSE)</f>
        <v>37.98714285714285</v>
      </c>
      <c r="F11">
        <f>VLOOKUP($A11,'Individual Stats'!$A$3:$K$18,10,FALSE)+VLOOKUP($D11,'Individual Stats'!$A$3:$K$18,10,FALSE)</f>
        <v>71</v>
      </c>
      <c r="G11">
        <f>VLOOKUP($A11,'Individual Stats'!$A$3:$K$18,10,FALSE)/F11</f>
        <v>0.42253521126760563</v>
      </c>
      <c r="H11">
        <f t="shared" si="1"/>
        <v>18.993571428571425</v>
      </c>
      <c r="I11">
        <f t="shared" si="2"/>
        <v>18.993571428571425</v>
      </c>
      <c r="J11">
        <f>VLOOKUP($C11,'Team Stats'!$A$2:$G$9,7,FALSE)</f>
        <v>27.037142857142857</v>
      </c>
      <c r="K11">
        <f>VLOOKUP($A11,'Individual Stats'!$A$3:$K$18,11,FALSE)+VLOOKUP($D11,'Individual Stats'!$A$3:$K$18,11,FALSE)</f>
        <v>109</v>
      </c>
      <c r="L11">
        <f>VLOOKUP($A11,'Individual Stats'!$A$3:$K$18,11,FALSE)/K11</f>
        <v>0.54128440366972475</v>
      </c>
      <c r="M11">
        <f t="shared" si="3"/>
        <v>13.518571428571429</v>
      </c>
      <c r="N11">
        <f t="shared" si="4"/>
        <v>16.898214285714285</v>
      </c>
      <c r="O11">
        <f>VLOOKUP($C11,'Team Stats'!$A$2:$G$9,6,FALSE)</f>
        <v>1.3800000000000001</v>
      </c>
      <c r="P11">
        <f>VLOOKUP($A11,'Individual Stats'!$A$3:$I$18,9,FALSE)+VLOOKUP($D11,'Individual Stats'!$A$3:$I$18,9,FALSE)</f>
        <v>23</v>
      </c>
      <c r="Q11">
        <f t="shared" si="5"/>
        <v>2.3809523809523809</v>
      </c>
      <c r="R11">
        <f>VLOOKUP($A11,'Individual Stats'!$A$3:$I$18,9,FALSE)/P11</f>
        <v>0.21739130434782608</v>
      </c>
      <c r="S11">
        <f t="shared" si="6"/>
        <v>5</v>
      </c>
      <c r="T11">
        <f t="shared" si="7"/>
        <v>17.25</v>
      </c>
      <c r="U11">
        <f>VLOOKUP($A11,'Individual Stats'!$A$3:$K$18,10,FALSE)-'Individual Stats'!$J$20</f>
        <v>-13.8125</v>
      </c>
      <c r="V11">
        <f t="shared" si="8"/>
        <v>-3.453125</v>
      </c>
      <c r="W11">
        <f>VLOOKUP($A11,'Individual Stats'!$A$3:$K$18,11,FALSE)-'Individual Stats'!$K$20</f>
        <v>14.533333333333331</v>
      </c>
      <c r="X11">
        <f t="shared" si="9"/>
        <v>3.6333333333333329</v>
      </c>
    </row>
    <row r="12" spans="1:24">
      <c r="A12" t="str">
        <f>'Individual Stats'!A17</f>
        <v>Olver</v>
      </c>
      <c r="B12" s="24">
        <f t="shared" si="0"/>
        <v>54.958779761904765</v>
      </c>
      <c r="C12" t="str">
        <f>VLOOKUP("*"&amp;A12&amp;"*",'Team Stats'!$A$2:$A$9,1,FALSE)</f>
        <v>Brian/Olver</v>
      </c>
      <c r="D12" s="23" t="s">
        <v>96</v>
      </c>
      <c r="E12">
        <f>VLOOKUP($C12,'Team Stats'!$A$2:$G$9,5,FALSE)</f>
        <v>31.292857142857144</v>
      </c>
      <c r="F12">
        <f>VLOOKUP($A12,'Individual Stats'!$A$3:$K$18,10,FALSE)+VLOOKUP($D12,'Individual Stats'!$A$3:$K$18,10,FALSE)</f>
        <v>118</v>
      </c>
      <c r="G12">
        <f>VLOOKUP($A12,'Individual Stats'!$A$3:$K$18,10,FALSE)/F12</f>
        <v>0.72881355932203384</v>
      </c>
      <c r="H12">
        <f t="shared" si="1"/>
        <v>15.646428571428572</v>
      </c>
      <c r="I12">
        <f t="shared" si="2"/>
        <v>15.646428571428572</v>
      </c>
      <c r="J12">
        <f>VLOOKUP($C12,'Team Stats'!$A$2:$G$9,7,FALSE)</f>
        <v>25.868571428571432</v>
      </c>
      <c r="K12">
        <f>VLOOKUP($A12,'Individual Stats'!$A$3:$K$18,11,FALSE)+VLOOKUP($D12,'Individual Stats'!$A$3:$K$18,11,FALSE)</f>
        <v>111</v>
      </c>
      <c r="L12">
        <f>VLOOKUP($A12,'Individual Stats'!$A$3:$K$18,11,FALSE)/K12</f>
        <v>0.25225225225225223</v>
      </c>
      <c r="M12">
        <f t="shared" si="3"/>
        <v>12.934285714285716</v>
      </c>
      <c r="N12">
        <f t="shared" si="4"/>
        <v>16.167857142857144</v>
      </c>
      <c r="O12">
        <f>VLOOKUP($C12,'Team Stats'!$A$2:$G$9,6,FALSE)</f>
        <v>1.2228571428571429</v>
      </c>
      <c r="P12">
        <f>VLOOKUP($A12,'Individual Stats'!$A$3:$I$18,9,FALSE)+VLOOKUP($D12,'Individual Stats'!$A$3:$I$18,9,FALSE)</f>
        <v>9</v>
      </c>
      <c r="Q12">
        <f t="shared" si="5"/>
        <v>1.4285714285714286</v>
      </c>
      <c r="R12">
        <f>VLOOKUP($A12,'Individual Stats'!$A$3:$I$18,9,FALSE)/P12</f>
        <v>0.33333333333333331</v>
      </c>
      <c r="S12">
        <f t="shared" si="6"/>
        <v>3</v>
      </c>
      <c r="T12">
        <f t="shared" si="7"/>
        <v>15.285714285714286</v>
      </c>
      <c r="U12">
        <f>VLOOKUP($A12,'Individual Stats'!$A$3:$K$18,10,FALSE)-'Individual Stats'!$J$20</f>
        <v>42.1875</v>
      </c>
      <c r="V12">
        <f t="shared" si="8"/>
        <v>10.546875</v>
      </c>
      <c r="W12">
        <f>VLOOKUP($A12,'Individual Stats'!$A$3:$K$18,11,FALSE)-'Individual Stats'!$K$20</f>
        <v>-16.466666666666669</v>
      </c>
      <c r="X12">
        <f t="shared" si="9"/>
        <v>-4.1166666666666671</v>
      </c>
    </row>
    <row r="13" spans="1:24">
      <c r="A13" t="str">
        <f>'Individual Stats'!A14</f>
        <v>Clarence</v>
      </c>
      <c r="B13" s="24">
        <f t="shared" si="0"/>
        <v>51.056577380952376</v>
      </c>
      <c r="C13" t="str">
        <f>VLOOKUP("*"&amp;A13&amp;"*",'Team Stats'!$A$2:$A$9,1,FALSE)</f>
        <v>Clarence/Mike H</v>
      </c>
      <c r="D13" s="23" t="s">
        <v>91</v>
      </c>
      <c r="E13">
        <f>VLOOKUP($C13,'Team Stats'!$A$2:$G$9,5,FALSE)</f>
        <v>36.184285714285714</v>
      </c>
      <c r="F13">
        <f>VLOOKUP($A13,'Individual Stats'!$A$3:$K$18,10,FALSE)+VLOOKUP($D13,'Individual Stats'!$A$3:$K$18,10,FALSE)</f>
        <v>76</v>
      </c>
      <c r="G13">
        <f>VLOOKUP($A13,'Individual Stats'!$A$3:$K$18,10,FALSE)/F13</f>
        <v>0.55263157894736847</v>
      </c>
      <c r="H13">
        <f t="shared" si="1"/>
        <v>18.092142857142857</v>
      </c>
      <c r="I13">
        <f t="shared" si="2"/>
        <v>18.092142857142857</v>
      </c>
      <c r="J13">
        <f>VLOOKUP($C13,'Team Stats'!$A$2:$G$9,7,FALSE)</f>
        <v>27.564285714285713</v>
      </c>
      <c r="K13">
        <f>VLOOKUP($A13,'Individual Stats'!$A$3:$K$18,11,FALSE)+VLOOKUP($D13,'Individual Stats'!$A$3:$K$18,11,FALSE)</f>
        <v>77</v>
      </c>
      <c r="L13">
        <f>VLOOKUP($A13,'Individual Stats'!$A$3:$K$18,11,FALSE)/K13</f>
        <v>0.48051948051948051</v>
      </c>
      <c r="M13">
        <f t="shared" si="3"/>
        <v>13.782142857142857</v>
      </c>
      <c r="N13">
        <f t="shared" si="4"/>
        <v>17.227678571428569</v>
      </c>
      <c r="O13">
        <f>VLOOKUP($C13,'Team Stats'!$A$2:$G$9,6,FALSE)</f>
        <v>1.292142857142857</v>
      </c>
      <c r="P13">
        <f>VLOOKUP($A13,'Individual Stats'!$A$3:$I$18,9,FALSE)+VLOOKUP($D13,'Individual Stats'!$A$3:$I$18,9,FALSE)</f>
        <v>11</v>
      </c>
      <c r="Q13">
        <f t="shared" si="5"/>
        <v>1.9047619047619049</v>
      </c>
      <c r="R13">
        <f>VLOOKUP($A13,'Individual Stats'!$A$3:$I$18,9,FALSE)/P13</f>
        <v>0.36363636363636365</v>
      </c>
      <c r="S13">
        <f t="shared" si="6"/>
        <v>4</v>
      </c>
      <c r="T13">
        <f t="shared" si="7"/>
        <v>16.151785714285712</v>
      </c>
      <c r="U13">
        <f>VLOOKUP($A13,'Individual Stats'!$A$3:$K$18,10,FALSE)-'Individual Stats'!$J$20</f>
        <v>-1.8125</v>
      </c>
      <c r="V13">
        <f t="shared" si="8"/>
        <v>-0.453125</v>
      </c>
      <c r="W13">
        <f>VLOOKUP($A13,'Individual Stats'!$A$3:$K$18,11,FALSE)-'Individual Stats'!$K$20</f>
        <v>-7.4666666666666686</v>
      </c>
      <c r="X13">
        <f t="shared" si="9"/>
        <v>-1.8666666666666671</v>
      </c>
    </row>
    <row r="14" spans="1:24">
      <c r="A14" t="str">
        <f>'Individual Stats'!A9</f>
        <v>Paul</v>
      </c>
      <c r="B14" s="24">
        <f t="shared" si="0"/>
        <v>47.107827380952386</v>
      </c>
      <c r="C14" t="str">
        <f>VLOOKUP("*"&amp;A14&amp;"*",'Team Stats'!$A$2:$A$9,1,FALSE)</f>
        <v>Kevin/Paul</v>
      </c>
      <c r="D14" s="23" t="s">
        <v>55</v>
      </c>
      <c r="E14">
        <f>VLOOKUP($C14,'Team Stats'!$A$2:$G$9,5,FALSE)</f>
        <v>34.702857142857148</v>
      </c>
      <c r="F14">
        <f>VLOOKUP($A14,'Individual Stats'!$A$3:$K$18,10,FALSE)+VLOOKUP($D14,'Individual Stats'!$A$3:$K$18,10,FALSE)</f>
        <v>124</v>
      </c>
      <c r="G14">
        <f>VLOOKUP($A14,'Individual Stats'!$A$3:$K$18,10,FALSE)/F14</f>
        <v>0.25806451612903225</v>
      </c>
      <c r="H14">
        <f t="shared" si="1"/>
        <v>17.351428571428574</v>
      </c>
      <c r="I14">
        <f t="shared" si="2"/>
        <v>17.351428571428574</v>
      </c>
      <c r="J14">
        <f>VLOOKUP($C14,'Team Stats'!$A$2:$G$9,7,FALSE)</f>
        <v>27.345714285714283</v>
      </c>
      <c r="K14">
        <f>VLOOKUP($A14,'Individual Stats'!$A$3:$K$18,11,FALSE)+VLOOKUP($D14,'Individual Stats'!$A$3:$K$18,11,FALSE)</f>
        <v>61</v>
      </c>
      <c r="L14">
        <f>VLOOKUP($A14,'Individual Stats'!$A$3:$K$18,11,FALSE)/K14</f>
        <v>0.32786885245901637</v>
      </c>
      <c r="M14">
        <f t="shared" si="3"/>
        <v>13.672857142857142</v>
      </c>
      <c r="N14">
        <f t="shared" si="4"/>
        <v>17.091071428571428</v>
      </c>
      <c r="O14">
        <f>VLOOKUP($C14,'Team Stats'!$A$2:$G$9,6,FALSE)</f>
        <v>1.4721428571428572</v>
      </c>
      <c r="P14">
        <f>VLOOKUP($A14,'Individual Stats'!$A$3:$I$18,9,FALSE)+VLOOKUP($D14,'Individual Stats'!$A$3:$I$18,9,FALSE)</f>
        <v>14</v>
      </c>
      <c r="Q14">
        <f t="shared" si="5"/>
        <v>3.3333333333333335</v>
      </c>
      <c r="R14">
        <f>VLOOKUP($A14,'Individual Stats'!$A$3:$I$18,9,FALSE)/P14</f>
        <v>0.5</v>
      </c>
      <c r="S14">
        <f t="shared" si="6"/>
        <v>7</v>
      </c>
      <c r="T14">
        <f t="shared" si="7"/>
        <v>18.401785714285715</v>
      </c>
      <c r="U14">
        <f>VLOOKUP($A14,'Individual Stats'!$A$3:$K$18,10,FALSE)-'Individual Stats'!$J$20</f>
        <v>-11.8125</v>
      </c>
      <c r="V14">
        <f t="shared" si="8"/>
        <v>-2.953125</v>
      </c>
      <c r="W14">
        <f>VLOOKUP($A14,'Individual Stats'!$A$3:$K$18,11,FALSE)-'Individual Stats'!$K$20</f>
        <v>-24.466666666666669</v>
      </c>
      <c r="X14">
        <f t="shared" si="9"/>
        <v>-6.1166666666666671</v>
      </c>
    </row>
    <row r="15" spans="1:24">
      <c r="A15" t="str">
        <f>'Individual Stats'!A13</f>
        <v>Mike C</v>
      </c>
      <c r="B15" s="24">
        <f t="shared" si="0"/>
        <v>40.667906746031747</v>
      </c>
      <c r="C15" t="str">
        <f>VLOOKUP("*"&amp;A15&amp;"*",'Team Stats'!$A$2:$A$9,1,FALSE)</f>
        <v>Todd/Mike C</v>
      </c>
      <c r="D15" s="23" t="s">
        <v>92</v>
      </c>
      <c r="E15">
        <f>VLOOKUP($C15,'Team Stats'!$A$2:$G$9,5,FALSE)</f>
        <v>31.767142857142854</v>
      </c>
      <c r="F15">
        <f>VLOOKUP($A15,'Individual Stats'!$A$3:$K$18,10,FALSE)+VLOOKUP($D15,'Individual Stats'!$A$3:$K$18,10,FALSE)</f>
        <v>88</v>
      </c>
      <c r="G15">
        <f>VLOOKUP($A15,'Individual Stats'!$A$3:$K$18,10,FALSE)/F15</f>
        <v>0.36363636363636365</v>
      </c>
      <c r="H15">
        <f t="shared" si="1"/>
        <v>17.648412698412699</v>
      </c>
      <c r="I15">
        <f t="shared" si="2"/>
        <v>17.648412698412699</v>
      </c>
      <c r="J15">
        <f>VLOOKUP($C15,'Team Stats'!$A$2:$G$9,7,FALSE)</f>
        <v>25.494285714285713</v>
      </c>
      <c r="K15">
        <f>VLOOKUP($A15,'Individual Stats'!$A$3:$K$18,11,FALSE)+VLOOKUP($D15,'Individual Stats'!$A$3:$K$18,11,FALSE)</f>
        <v>75</v>
      </c>
      <c r="L15">
        <f>VLOOKUP($A15,'Individual Stats'!$A$3:$K$18,11,FALSE)/K15</f>
        <v>0</v>
      </c>
      <c r="M15">
        <f t="shared" si="3"/>
        <v>14.163492063492063</v>
      </c>
      <c r="N15">
        <f t="shared" si="4"/>
        <v>17.704365079365079</v>
      </c>
      <c r="O15">
        <f>VLOOKUP($C15,'Team Stats'!$A$2:$G$9,6,FALSE)</f>
        <v>1.2242857142857144</v>
      </c>
      <c r="P15">
        <f>VLOOKUP($A15,'Individual Stats'!$A$3:$I$18,9,FALSE)+VLOOKUP($D15,'Individual Stats'!$A$3:$I$18,9,FALSE)</f>
        <v>9</v>
      </c>
      <c r="Q15">
        <f t="shared" si="5"/>
        <v>2.3809523809523809</v>
      </c>
      <c r="R15">
        <f>VLOOKUP($A15,'Individual Stats'!$A$3:$I$18,9,FALSE)/P15</f>
        <v>0.55555555555555558</v>
      </c>
      <c r="S15">
        <f t="shared" si="6"/>
        <v>5</v>
      </c>
      <c r="T15">
        <f t="shared" si="7"/>
        <v>17.003968253968257</v>
      </c>
      <c r="U15">
        <f>VLOOKUP($A15,'Individual Stats'!$A$3:$K$18,10,FALSE)-'Individual Stats'!$J$20</f>
        <v>-11.8125</v>
      </c>
      <c r="V15">
        <f t="shared" si="8"/>
        <v>-2.953125</v>
      </c>
      <c r="W15">
        <f>VLOOKUP($A15,'Individual Stats'!$A$3:$K$18,11,FALSE)-'Individual Stats'!$K$20</f>
        <v>-44.466666666666669</v>
      </c>
      <c r="X15">
        <f t="shared" si="9"/>
        <v>-11.116666666666667</v>
      </c>
    </row>
    <row r="16" spans="1:24">
      <c r="A16" t="str">
        <f>'Individual Stats'!A15</f>
        <v>Neil</v>
      </c>
      <c r="B16" s="24">
        <f t="shared" si="0"/>
        <v>39.599434523809528</v>
      </c>
      <c r="C16" t="str">
        <f>VLOOKUP("*"&amp;A16&amp;"*",'Team Stats'!$A$2:$A$9,1,FALSE)</f>
        <v>Mark/Neil</v>
      </c>
      <c r="D16" s="23" t="s">
        <v>102</v>
      </c>
      <c r="E16">
        <f>VLOOKUP($C16,'Team Stats'!$A$2:$G$9,5,FALSE)</f>
        <v>34.491428571428571</v>
      </c>
      <c r="F16">
        <f>VLOOKUP($A16,'Individual Stats'!$A$3:$K$18,10,FALSE)+VLOOKUP($D16,'Individual Stats'!$A$3:$K$18,10,FALSE)</f>
        <v>62</v>
      </c>
      <c r="G16">
        <f>VLOOKUP($A16,'Individual Stats'!$A$3:$K$18,10,FALSE)/F16</f>
        <v>0.5161290322580645</v>
      </c>
      <c r="H16">
        <f t="shared" si="1"/>
        <v>17.245714285714286</v>
      </c>
      <c r="I16">
        <f t="shared" si="2"/>
        <v>17.245714285714286</v>
      </c>
      <c r="J16">
        <f>VLOOKUP($C16,'Team Stats'!$A$2:$G$9,7,FALSE)</f>
        <v>23.158571428571431</v>
      </c>
      <c r="K16">
        <f>VLOOKUP($A16,'Individual Stats'!$A$3:$K$18,11,FALSE)+VLOOKUP($D16,'Individual Stats'!$A$3:$K$18,11,FALSE)</f>
        <v>36</v>
      </c>
      <c r="L16">
        <f>VLOOKUP($A16,'Individual Stats'!$A$3:$K$18,11,FALSE)/K16</f>
        <v>0.61111111111111116</v>
      </c>
      <c r="M16">
        <f t="shared" si="3"/>
        <v>11.579285714285716</v>
      </c>
      <c r="N16">
        <f t="shared" si="4"/>
        <v>14.474107142857145</v>
      </c>
      <c r="O16">
        <f>VLOOKUP($C16,'Team Stats'!$A$2:$G$9,6,FALSE)</f>
        <v>1.1635714285714285</v>
      </c>
      <c r="P16">
        <f>VLOOKUP($A16,'Individual Stats'!$A$3:$I$18,9,FALSE)+VLOOKUP($D16,'Individual Stats'!$A$3:$I$18,9,FALSE)</f>
        <v>15</v>
      </c>
      <c r="Q16">
        <f t="shared" si="5"/>
        <v>1.9047619047619049</v>
      </c>
      <c r="R16">
        <f>VLOOKUP($A16,'Individual Stats'!$A$3:$I$18,9,FALSE)/P16</f>
        <v>0.26666666666666666</v>
      </c>
      <c r="S16">
        <f t="shared" si="6"/>
        <v>4</v>
      </c>
      <c r="T16">
        <f t="shared" si="7"/>
        <v>14.544642857142856</v>
      </c>
      <c r="U16">
        <f>VLOOKUP($A16,'Individual Stats'!$A$3:$K$18,10,FALSE)-'Individual Stats'!$J$20</f>
        <v>-11.8125</v>
      </c>
      <c r="V16">
        <f t="shared" si="8"/>
        <v>-2.953125</v>
      </c>
      <c r="W16">
        <f>VLOOKUP($A16,'Individual Stats'!$A$3:$K$18,11,FALSE)-'Individual Stats'!$K$20</f>
        <v>-22.466666666666669</v>
      </c>
      <c r="X16">
        <f t="shared" si="9"/>
        <v>-5.6166666666666671</v>
      </c>
    </row>
    <row r="17" spans="1:24">
      <c r="A17" t="str">
        <f>'Individual Stats'!A18</f>
        <v>Tony</v>
      </c>
      <c r="B17" s="24">
        <f t="shared" si="0"/>
        <v>33.737767857142856</v>
      </c>
      <c r="C17" t="str">
        <f>VLOOKUP("*"&amp;A17&amp;"*",'Team Stats'!$A$2:$A$9,1,FALSE)</f>
        <v>Tayven/Tony</v>
      </c>
      <c r="D17" s="23" t="s">
        <v>86</v>
      </c>
      <c r="E17">
        <f>VLOOKUP($C17,'Team Stats'!$A$2:$G$9,5,FALSE)</f>
        <v>31.537142857142861</v>
      </c>
      <c r="F17">
        <f>VLOOKUP($A17,'Individual Stats'!$A$3:$K$18,10,FALSE)+VLOOKUP($D17,'Individual Stats'!$A$3:$K$18,10,FALSE)</f>
        <v>52</v>
      </c>
      <c r="G17">
        <f>VLOOKUP($A17,'Individual Stats'!$A$3:$K$18,10,FALSE)/F17</f>
        <v>7.6923076923076927E-2</v>
      </c>
      <c r="H17">
        <f t="shared" si="1"/>
        <v>15.76857142857143</v>
      </c>
      <c r="I17">
        <f t="shared" si="2"/>
        <v>15.76857142857143</v>
      </c>
      <c r="J17">
        <f>VLOOKUP($C17,'Team Stats'!$A$2:$G$9,7,FALSE)</f>
        <v>21.324285714285715</v>
      </c>
      <c r="K17">
        <f>VLOOKUP($A17,'Individual Stats'!$A$3:$K$18,11,FALSE)+VLOOKUP($D17,'Individual Stats'!$A$3:$K$18,11,FALSE)</f>
        <v>90</v>
      </c>
      <c r="L17">
        <f>VLOOKUP($A17,'Individual Stats'!$A$3:$K$18,11,FALSE)/K17</f>
        <v>0.42222222222222222</v>
      </c>
      <c r="M17">
        <f t="shared" si="3"/>
        <v>10.662142857142857</v>
      </c>
      <c r="N17">
        <f t="shared" si="4"/>
        <v>13.327678571428571</v>
      </c>
      <c r="O17">
        <f>VLOOKUP($C17,'Team Stats'!$A$2:$G$9,6,FALSE)</f>
        <v>1.2207142857142854</v>
      </c>
      <c r="P17">
        <f>VLOOKUP($A17,'Individual Stats'!$A$3:$I$18,9,FALSE)+VLOOKUP($D17,'Individual Stats'!$A$3:$I$18,9,FALSE)</f>
        <v>10</v>
      </c>
      <c r="Q17">
        <f t="shared" si="5"/>
        <v>0.95238095238095244</v>
      </c>
      <c r="R17">
        <f>VLOOKUP($A17,'Individual Stats'!$A$3:$I$18,9,FALSE)/P17</f>
        <v>0.2</v>
      </c>
      <c r="S17">
        <f t="shared" si="6"/>
        <v>2</v>
      </c>
      <c r="T17">
        <f t="shared" si="7"/>
        <v>15.258928571428568</v>
      </c>
      <c r="U17">
        <f>VLOOKUP($A17,'Individual Stats'!$A$3:$K$18,10,FALSE)-'Individual Stats'!$J$20</f>
        <v>-39.8125</v>
      </c>
      <c r="V17">
        <f t="shared" si="8"/>
        <v>-9.953125</v>
      </c>
      <c r="W17">
        <f>VLOOKUP($A17,'Individual Stats'!$A$3:$K$18,11,FALSE)-'Individual Stats'!$K$20</f>
        <v>-6.4666666666666686</v>
      </c>
      <c r="X17">
        <f t="shared" si="9"/>
        <v>-1.6166666666666671</v>
      </c>
    </row>
    <row r="18" spans="1:24">
      <c r="H18">
        <f>AVERAGE(H2:H17)</f>
        <v>19.803800665259512</v>
      </c>
      <c r="I18">
        <f t="shared" si="2"/>
        <v>19.803800665259512</v>
      </c>
      <c r="M18">
        <f>AVERAGE(M2:M17)</f>
        <v>14.942937468630403</v>
      </c>
      <c r="N18">
        <f t="shared" si="4"/>
        <v>18.678671835788002</v>
      </c>
      <c r="P18">
        <f>SUM(P2:P17)</f>
        <v>210</v>
      </c>
      <c r="Q18">
        <f>AVERAGE(Q2:Q17)</f>
        <v>3.125</v>
      </c>
      <c r="S18">
        <f>SUM(S2:S17)</f>
        <v>105</v>
      </c>
      <c r="T18">
        <f>AVERAGE(T2:T17)</f>
        <v>18.720704977066582</v>
      </c>
    </row>
    <row r="27" spans="1:24">
      <c r="A27" s="1" t="s">
        <v>219</v>
      </c>
      <c r="B27" s="23">
        <v>1</v>
      </c>
    </row>
    <row r="28" spans="1:24">
      <c r="A28" s="1" t="s">
        <v>220</v>
      </c>
      <c r="B28" s="23">
        <v>1.25</v>
      </c>
    </row>
    <row r="29" spans="1:24">
      <c r="A29" s="1" t="s">
        <v>221</v>
      </c>
      <c r="B29" s="23">
        <v>25</v>
      </c>
    </row>
    <row r="30" spans="1:24">
      <c r="A30" s="1" t="s">
        <v>222</v>
      </c>
      <c r="B30" s="23">
        <v>0.25</v>
      </c>
    </row>
    <row r="31" spans="1:24">
      <c r="A31" s="1" t="s">
        <v>223</v>
      </c>
      <c r="B31" s="23">
        <v>0.25</v>
      </c>
    </row>
  </sheetData>
  <autoFilter ref="A1:X17" xr:uid="{C366C368-E455-4E37-81C1-035A0FA94535}">
    <sortState xmlns:xlrd2="http://schemas.microsoft.com/office/spreadsheetml/2017/richdata2" ref="A2:X18">
      <sortCondition descending="1" ref="B1:B17"/>
    </sortState>
  </autoFilter>
  <sortState xmlns:xlrd2="http://schemas.microsoft.com/office/spreadsheetml/2017/richdata2" ref="A2:X17">
    <sortCondition descending="1" ref="B2:B1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a4d9503-24e5-4f63-89f2-e6f7ed0d496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1F85420B213849BC005DBED5BF8CF8" ma:contentTypeVersion="10" ma:contentTypeDescription="Create a new document." ma:contentTypeScope="" ma:versionID="20afa1cee71b86817a36b6e1b8286b7b">
  <xsd:schema xmlns:xsd="http://www.w3.org/2001/XMLSchema" xmlns:xs="http://www.w3.org/2001/XMLSchema" xmlns:p="http://schemas.microsoft.com/office/2006/metadata/properties" xmlns:ns3="314b65a7-e3a5-4a07-820b-3e40b52ace86" xmlns:ns4="7a4d9503-24e5-4f63-89f2-e6f7ed0d4967" targetNamespace="http://schemas.microsoft.com/office/2006/metadata/properties" ma:root="true" ma:fieldsID="3ac025bf9181bb3db53b86ae3933661e" ns3:_="" ns4:_="">
    <xsd:import namespace="314b65a7-e3a5-4a07-820b-3e40b52ace86"/>
    <xsd:import namespace="7a4d9503-24e5-4f63-89f2-e6f7ed0d496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b65a7-e3a5-4a07-820b-3e40b52ace8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4d9503-24e5-4f63-89f2-e6f7ed0d49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BDFE3E-D66B-4B59-BB25-32ED55B9AA68}"/>
</file>

<file path=customXml/itemProps2.xml><?xml version="1.0" encoding="utf-8"?>
<ds:datastoreItem xmlns:ds="http://schemas.openxmlformats.org/officeDocument/2006/customXml" ds:itemID="{D0EB9F53-089F-46B5-AFA8-23FD468EAD63}"/>
</file>

<file path=customXml/itemProps3.xml><?xml version="1.0" encoding="utf-8"?>
<ds:datastoreItem xmlns:ds="http://schemas.openxmlformats.org/officeDocument/2006/customXml" ds:itemID="{18A5789E-94FD-4074-B333-52052B7086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Riley Jean</dc:creator>
  <cp:keywords/>
  <dc:description/>
  <cp:lastModifiedBy>daniel.geo.jean@gmail.com</cp:lastModifiedBy>
  <cp:revision/>
  <dcterms:created xsi:type="dcterms:W3CDTF">2015-06-05T18:17:20Z</dcterms:created>
  <dcterms:modified xsi:type="dcterms:W3CDTF">2026-02-25T18:44:46Z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0x0101008E1F85420B213849BC005DBED5BF8CF8</vt:lpwstr>
  </property>
</Properties>
</file>